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etencias" sheetId="1" r:id="rId5"/>
    <sheet state="visible" name="Resumen" sheetId="2" r:id="rId6"/>
    <sheet state="visible" name="Diseño" sheetId="3" r:id="rId7"/>
    <sheet state="visible" name="Semana Diagnostico" sheetId="4" r:id="rId8"/>
    <sheet state="visible" name="S.2" sheetId="5" r:id="rId9"/>
    <sheet state="visible" name="S.3" sheetId="6" r:id="rId10"/>
    <sheet state="visible" name="S.4" sheetId="7" r:id="rId11"/>
    <sheet state="visible" name="S.5" sheetId="8" r:id="rId12"/>
    <sheet state="visible" name="S.6" sheetId="9" r:id="rId13"/>
    <sheet state="visible" name="S.7" sheetId="10" r:id="rId14"/>
    <sheet state="visible" name="S.8" sheetId="11" r:id="rId15"/>
    <sheet state="visible" name="S.9" sheetId="12" r:id="rId16"/>
    <sheet state="visible" name="S.10" sheetId="13" r:id="rId17"/>
    <sheet state="visible" name="S.11" sheetId="14" r:id="rId18"/>
    <sheet state="visible" name="Proyectos" sheetId="15" r:id="rId19"/>
    <sheet state="visible" name="Practicas" sheetId="16" r:id="rId20"/>
    <sheet state="visible" name="Tareas" sheetId="17" r:id="rId21"/>
    <sheet state="hidden" name="Metadata" sheetId="18" r:id="rId2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8">
      <text>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text>
    </comment>
  </commentList>
</comments>
</file>

<file path=xl/sharedStrings.xml><?xml version="1.0" encoding="utf-8"?>
<sst xmlns="http://schemas.openxmlformats.org/spreadsheetml/2006/main" count="1612" uniqueCount="461">
  <si>
    <t xml:space="preserve">Resumen de Ponderacion y Horas </t>
  </si>
  <si>
    <t>Curso</t>
  </si>
  <si>
    <t>796 - Lenguajes Formales y de Programación</t>
  </si>
  <si>
    <t>Semestre que aplica</t>
  </si>
  <si>
    <t>Segundo Semestre 2026</t>
  </si>
  <si>
    <t>Total de Puntos del Laboratorio</t>
  </si>
  <si>
    <t>* Esta sección se auto completa al momento en que se llene a la información de la planificación</t>
  </si>
  <si>
    <t>** Tomar como base la distribución realizada por el coordinador del area del curso en el documento de criterios y expectativas</t>
  </si>
  <si>
    <t>Tipo de Actividad</t>
  </si>
  <si>
    <t>Ponderacion</t>
  </si>
  <si>
    <t>Horas utilizadas</t>
  </si>
  <si>
    <t>Aspectos clave que debe abordar</t>
  </si>
  <si>
    <t>Competencias que se formaran en el Segundo Semestre 2026</t>
  </si>
  <si>
    <t>Valor Maximo Recomendado</t>
  </si>
  <si>
    <t>Diseño de Contenido Curricular</t>
  </si>
  <si>
    <t>Actividades durante el peridodo de laboratorio</t>
  </si>
  <si>
    <t>semestre que aplica</t>
  </si>
  <si>
    <t>No.</t>
  </si>
  <si>
    <t>Competencias relacionadas al perfil del egresado (Especifica)</t>
  </si>
  <si>
    <t>Competencia</t>
  </si>
  <si>
    <t>Nombre de la Unidad</t>
  </si>
  <si>
    <t>Tema</t>
  </si>
  <si>
    <t>Subtema</t>
  </si>
  <si>
    <t>Mes</t>
  </si>
  <si>
    <t>Semana</t>
  </si>
  <si>
    <t>Competencias relacionadas al perfil del egresado (General)</t>
  </si>
  <si>
    <t xml:space="preserve">Comprender el funcionamiento del lenguaje de programación a través de su aplicación para la resolución de problemas relacionados con las fases del compilador </t>
  </si>
  <si>
    <t>Tiempo</t>
  </si>
  <si>
    <t>Proyectos</t>
  </si>
  <si>
    <t>Lenguajes de Programacion</t>
  </si>
  <si>
    <t>Introduccion al lenguaje de Programacion</t>
  </si>
  <si>
    <t>Demuestra pensamiento crítico, actitud investigativa y rigor analítico en el
 planteamiento y la resolución de problemas complejos.</t>
  </si>
  <si>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</si>
  <si>
    <t>Historia de la Programacion</t>
  </si>
  <si>
    <t>Julio</t>
  </si>
  <si>
    <t xml:space="preserve">1. Bienvenida y Presentación                                   </t>
  </si>
  <si>
    <t>Tiempo Aproximado</t>
  </si>
  <si>
    <t>Prácticas</t>
  </si>
  <si>
    <t>No puedes excederte mas de 15 minutos</t>
  </si>
  <si>
    <t>Aplica principios básicos de ingeniería, ciencias de computación y sistemas
 de información y comunicación, en la formulación y resolución adecuada de
 problemas complejos.</t>
  </si>
  <si>
    <t xml:space="preserve">Nombre y Formacion Academica </t>
  </si>
  <si>
    <t>Aspectos Basicos de la Programacion</t>
  </si>
  <si>
    <t>Tareas</t>
  </si>
  <si>
    <t>NOMBRE, estudiante de Ingeniería en Ciencias y Sistemas, auxiliar de Lenguajes Formales y De Programación</t>
  </si>
  <si>
    <t>Aplica los conocimientos de su disciplina en la elaboración, fundamentación
 y defensa de argumentos para prevenir y resolver problemas complejos en
 su campo profesional, identificando y aplicando innovaciones.</t>
  </si>
  <si>
    <t>Aplica conocimientos tecnológicos con ética profesional y respetando y
 cuidando los recursos naturales, humanos y financieros.</t>
  </si>
  <si>
    <t>Se comunica correctamente en su lengua oficial y utiliza una lengua
 extranjera con el dominio requerido para el ejercicio de su profesión.</t>
  </si>
  <si>
    <t>Actualiza permanente sus conocimientos relacionados con TIC en general,
 apoyándose en las estrategias de aprendizaje apropiadas.</t>
  </si>
  <si>
    <t>Reglas de Sintaxis</t>
  </si>
  <si>
    <t>No</t>
  </si>
  <si>
    <t>Estructura de un programa</t>
  </si>
  <si>
    <t>Buenas Practicas y funciones en Programacion</t>
  </si>
  <si>
    <t>Convenciones de nombres y estilo de código</t>
  </si>
  <si>
    <t>Agosto</t>
  </si>
  <si>
    <t xml:space="preserve">Experiencia docente y profecional </t>
  </si>
  <si>
    <t>Auxiliar de Lenguajes Formales y de Programación, con experiencia en el desarrollo de aplicaciones y en temas relacionados con compiladores.</t>
  </si>
  <si>
    <t>Tipo</t>
  </si>
  <si>
    <t>Verbo en Presente</t>
  </si>
  <si>
    <t>Objeto de la acción</t>
  </si>
  <si>
    <t>Rol del auxiliar dentro del curso (funciones, actividades y apoyo a los estudiantes).</t>
  </si>
  <si>
    <t>Gestión de memoria y optimización</t>
  </si>
  <si>
    <t>Definición y uso de métodos y funciones</t>
  </si>
  <si>
    <t>Creación y uso de clases</t>
  </si>
  <si>
    <t>[Palabras conectoreas] Herramientas o metodología</t>
  </si>
  <si>
    <t>Diferencias entre métodos y funciones</t>
  </si>
  <si>
    <t>[Palabras conectoreas] Condiciones específicas</t>
  </si>
  <si>
    <t xml:space="preserve">Analiza la evolución y clasificación de los lenguajes formales y de programación mediante la comparación de características, estructuras y paradigmas para comprender su organización y funcionamiento </t>
  </si>
  <si>
    <t>Nivel</t>
  </si>
  <si>
    <t>Estructuras de Datos y Control en Programacion</t>
  </si>
  <si>
    <t>Arreglos</t>
  </si>
  <si>
    <t>Diccionarios y estructuras de Datos</t>
  </si>
  <si>
    <t xml:space="preserve">Iteracion </t>
  </si>
  <si>
    <t>Lectura de Archivos</t>
  </si>
  <si>
    <t>Escritura de Archivos</t>
  </si>
  <si>
    <t>Lenguajes Formales</t>
  </si>
  <si>
    <t>Lenguajes</t>
  </si>
  <si>
    <t>Lenguajes Natural</t>
  </si>
  <si>
    <t>Evolucion de los Lenguajes de Programacion</t>
  </si>
  <si>
    <t>Paradigmas</t>
  </si>
  <si>
    <t>Resolución de dudas, preparación de material, guia en laboratorios.</t>
  </si>
  <si>
    <t>Total</t>
  </si>
  <si>
    <t>Expectativas sobre la dinámica del curso</t>
  </si>
  <si>
    <t>Participación del alumnado, disciplina en los laboratorios y la coneccion de desarrollo de aplicacion de lo teórico a lo práctico.</t>
  </si>
  <si>
    <t>General</t>
  </si>
  <si>
    <t xml:space="preserve">Tiempo que emplearas </t>
  </si>
  <si>
    <t>Analiza</t>
  </si>
  <si>
    <t>Generaciones de lenguajes de programación</t>
  </si>
  <si>
    <t>Procesadores de Lenguaje</t>
  </si>
  <si>
    <t>Interprete</t>
  </si>
  <si>
    <t>Compilador</t>
  </si>
  <si>
    <t>la evolución y clasificación de los lenguajes formales y de programación</t>
  </si>
  <si>
    <t>Estructura de un compilador</t>
  </si>
  <si>
    <t>Diferencias y Ejemplos</t>
  </si>
  <si>
    <t>Herramientas</t>
  </si>
  <si>
    <t>Jerarquia de Chosmky</t>
  </si>
  <si>
    <t>Clasificacion de Gramaticas</t>
  </si>
  <si>
    <t xml:space="preserve">Construir analizadores sintacticos utilizando conocimientos de Gramáticas Libres del Contexto, POO, recursividad y programación imperativa para definir cada regla sintáctica </t>
  </si>
  <si>
    <t>Analisis Lexico</t>
  </si>
  <si>
    <t>Definicion y Funcion del analizador lexico</t>
  </si>
  <si>
    <t>Patrones</t>
  </si>
  <si>
    <t>Septiembre</t>
  </si>
  <si>
    <t>Tokens</t>
  </si>
  <si>
    <t>Lexemas</t>
  </si>
  <si>
    <t>Validacion</t>
  </si>
  <si>
    <t>Errores Lexicos</t>
  </si>
  <si>
    <t>Ejemplos de tokens en diferentes lenguajes</t>
  </si>
  <si>
    <t>Operaciones Entre Lenguajes y Expresiones regulares</t>
  </si>
  <si>
    <t>Interoperabilidad entre Lenguajes</t>
  </si>
  <si>
    <t>Concepto de interoperabilidad</t>
  </si>
  <si>
    <t>Traducción y Compilación:Proceso de traducción de un lenguaje a otro</t>
  </si>
  <si>
    <t>Buenas Prácticas en Interoperabilidad</t>
  </si>
  <si>
    <t>¿Qué son las expresiones regulares?</t>
  </si>
  <si>
    <t>mediante la comparación de características, estructuras y paradigmas</t>
  </si>
  <si>
    <t>Aplicaciones de Expresiones Regulares en Análisis Léxico</t>
  </si>
  <si>
    <t xml:space="preserve">2. Evaluación de Conocimientos Previos                             </t>
  </si>
  <si>
    <t>Diagrama de transición de estados</t>
  </si>
  <si>
    <t>para comprender su organización y funcionamiento</t>
  </si>
  <si>
    <t>Tablas de Transicion</t>
  </si>
  <si>
    <t xml:space="preserve">Implementa analizadores léxicos utilizando herramientas y conocimientos de AFD para definir cada estado del autómata y reconocer tokens </t>
  </si>
  <si>
    <t>Automata Finitos</t>
  </si>
  <si>
    <t>Definición de AFN</t>
  </si>
  <si>
    <t>Octubre</t>
  </si>
  <si>
    <t>Estructura de un AFN</t>
  </si>
  <si>
    <t>Ejemplo de AFN</t>
  </si>
  <si>
    <t>Definición de AFD</t>
  </si>
  <si>
    <t>Analizar</t>
  </si>
  <si>
    <t>Estructura de un AFD</t>
  </si>
  <si>
    <t>Ejemplo de AFD</t>
  </si>
  <si>
    <t>Conversion AFN a AFD</t>
  </si>
  <si>
    <t>Método del Árbol</t>
  </si>
  <si>
    <t>Anulables</t>
  </si>
  <si>
    <t>Cálculo de First, Last y Next</t>
  </si>
  <si>
    <t>Optimizacion de Estados</t>
  </si>
  <si>
    <t>Minimización de un AFD</t>
  </si>
  <si>
    <t>Identificación de Estados Equivalentes</t>
  </si>
  <si>
    <t>No puedes excederte mas de 45 minutos</t>
  </si>
  <si>
    <t>Representación Compacta de AFD</t>
  </si>
  <si>
    <t>En los recuadors de la derecha deberas colocar las preguntas que planeas realizar con sus respectivas respuestas.  En el segundo recuadro deberas colocar un breve resumne de lo que tines planificado para la parte practica del curso previo al que estas impartiendo.</t>
  </si>
  <si>
    <t>Ventajas de una representación optimizada</t>
  </si>
  <si>
    <t>Redactaras de 15 a 20 preguntas con sus respectivas respuestas , por lo que debes escoge los temas que evaluaras</t>
  </si>
  <si>
    <t>Analisis Sintactico</t>
  </si>
  <si>
    <t>Funcion del Analizador Sintactico</t>
  </si>
  <si>
    <t>Definición de análisis sintáctico</t>
  </si>
  <si>
    <t>1. En Java, una clase puede heredar de múltiples clases al mismo tiempo.
Falso
2. La palabra clave super se utiliza para invocar al constructor de la clase padre.
Verdadero
3. En Java, una interfaz puede tener métodos abstractos y métodos con implementación (default y static).
Verdadero
4. El modificador private permite que un atributo sea accesible desde cualquier clase.
Falso
5. En Java, la sobrecarga de métodos significa definir varios métodos con el mismo nombre pero diferentes parámetros.
Verdadero
6. La sobreescritura de métodos (override) ocurre cuando una subclase redefine un método de la superclase.
Verdadero
7. En Java, una clase marcada como abstract puede instanciarse directamente.
Falso
8. ¿Qué palabra clave se utiliza para evitar que una clase pueda ser heredada?
final
9. El polimorfismo en Java permite que un mismo método tenga comportamientos diferentes según el objeto que lo invoque.
Verdadero
10. En Swing, el contenedor principal de una aplicación gráfica suele ser JFrame.
Verdadero
11. En Swing, un JPanel se utiliza únicamente para mostrar menús.
Falso
12. ¿Qué clase de Swing se utiliza para mostrar un cuadro de diálogo simple con un mensaje y botones como “Aceptar” o “Cancelar”?
JOptionPane
13. El método setVisible(true) en un JFrame se utiliza para mostrar la ventana en pantalla.
Verdadero
14. En Swing, los componentes gráficos como botones, etiquetas o cuadros de texto heredan de la clase JComponent.
Verdadero
15. ¿Qué método se utiliza en un JButton para asignarle una acción cuando es presionado?
addActionListener()</t>
  </si>
  <si>
    <t>Propósito del analizador sintáctico en un compilador</t>
  </si>
  <si>
    <t>Diferencias entre análisis léxico y sintáctico</t>
  </si>
  <si>
    <t>Analizadores sintácticos ascendentes</t>
  </si>
  <si>
    <t>Analizadores sintácticos descendentes</t>
  </si>
  <si>
    <t>Comparación de técnicas de análisis sintáctico</t>
  </si>
  <si>
    <t>Redactaras una parte practica para realizar la evaluacion de conocimientos previos</t>
  </si>
  <si>
    <t xml:space="preserve">Crea gramáticas libres de contexto mediante el análisis sintáctico con herramientas para reconocer y validar lenguajes formales </t>
  </si>
  <si>
    <t>Practica Diagnostica : Programacion Orientada a Objetos en Java = Evaluar conocimientos básicos de programación en java y principios de programación.</t>
  </si>
  <si>
    <t>Lenguajes Libres de Contexto</t>
  </si>
  <si>
    <t>Definición de lenguajes libres de contexto (LFC)</t>
  </si>
  <si>
    <t>Características de LFC</t>
  </si>
  <si>
    <t>Importancia de los LFC en la teoría de lenguajes de programación</t>
  </si>
  <si>
    <t xml:space="preserve">3. Presentación de los Estudiantes                                </t>
  </si>
  <si>
    <t>Gramáticas Tipo 2</t>
  </si>
  <si>
    <t>Ejemplos de generación de cadenas usando gramáticas Tipo 2</t>
  </si>
  <si>
    <t>Aplicaciones prácticas de gramáticas Tipo 2 en lenguajes de programación</t>
  </si>
  <si>
    <t>Arboles de Derivacion y Ambigueadad</t>
  </si>
  <si>
    <t>Árboles de derivación</t>
  </si>
  <si>
    <t>Definición y construcción de árboles de derivación</t>
  </si>
  <si>
    <t>Especifica</t>
  </si>
  <si>
    <t>Crea</t>
  </si>
  <si>
    <t>Ambigüedad</t>
  </si>
  <si>
    <t xml:space="preserve">No puedes excederte mas de 30 minutos </t>
  </si>
  <si>
    <t>gramáticas libres de contexto</t>
  </si>
  <si>
    <t>Seleccion al Azar de 5 Estudiantes</t>
  </si>
  <si>
    <t>Concepto de ambigüedad en gramáticas</t>
  </si>
  <si>
    <t>1. Coloboración de los estudiantes amablemente se les solicitará que se presenten en el curso.</t>
  </si>
  <si>
    <t>Ejemplos de gramáticas ambiguas</t>
  </si>
  <si>
    <t xml:space="preserve">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conociminetos previos esta acorde al conocimiento que se te brindo en su momento                                                                                                                                                   Que tan comodo se sintio con la prueba anterior.    </t>
  </si>
  <si>
    <t>Recursividad</t>
  </si>
  <si>
    <t>Indica las preguntas que responderan los estudiantes afortunados</t>
  </si>
  <si>
    <t xml:space="preserve">1. Nombre completo.
2. ¿Cuáles son tus intereses y expectativas sobre este curso?
3. ¿Tienes experiencia previa relacionada con el curso o con programación?
4. Un dato curioso sobre ti (puede ser un hobby, gusto).
</t>
  </si>
  <si>
    <t>Definición de recursividad en gramáticas</t>
  </si>
  <si>
    <t>Ejemplos de gramáticas recursivas</t>
  </si>
  <si>
    <t>Automatas de Pila</t>
  </si>
  <si>
    <t>Introducción a los autómatas de pila</t>
  </si>
  <si>
    <t>Definición y funcionamiento de un autómata de pila</t>
  </si>
  <si>
    <r>
      <rPr>
        <rFont val="Arial"/>
        <color theme="1"/>
      </rPr>
      <t xml:space="preserve">mediante el análisis sintáctico </t>
    </r>
    <r>
      <rPr>
        <rFont val="Arial"/>
        <b/>
        <color rgb="FFFFFF00"/>
      </rPr>
      <t>con herramientas</t>
    </r>
  </si>
  <si>
    <t>para reconocer y validar lenguajes formales</t>
  </si>
  <si>
    <t>Diferencias entre autómatas de pila y autómatas finitos</t>
  </si>
  <si>
    <t xml:space="preserve">4.  Senso de Horarios de Calificación                                  </t>
  </si>
  <si>
    <t>Crear</t>
  </si>
  <si>
    <t>Procesamiento</t>
  </si>
  <si>
    <t>Tipos de aceptación</t>
  </si>
  <si>
    <t xml:space="preserve">Deberas estar recordando que deben contestar el formulario asi mismo dejar el link fijado en la llamada </t>
  </si>
  <si>
    <t>Estado Final</t>
  </si>
  <si>
    <t>Esta actividad quedara abierta hasta el fin de la clase. pero emplearas 5 min especificos para la actividad</t>
  </si>
  <si>
    <t xml:space="preserve">Link de google forms donde este el cuestionario </t>
  </si>
  <si>
    <t>Pila vacía</t>
  </si>
  <si>
    <t xml:space="preserve">Esta actividad te ayudara a realizar un senso de posibles horarios de calificacion y que tus estudiantes esten enterados y puedan preveer los dias de calificacion y asi mismo el horario. Deberas colocar en los reacuadros de la derecha link de Google form libre para correos intitucionales, esto para garantizar una sola respuesta por estudiante.    TAmbien deberas colocar los posibles horarios y dias que tentativamente tendrias disponibles. para colocarlos en el google form. </t>
  </si>
  <si>
    <t>Autómata de Pila desde Gramática Tipo 2</t>
  </si>
  <si>
    <t xml:space="preserve">Dias y posibles Horarios de calificacion </t>
  </si>
  <si>
    <t>La calificación podrá realizarse entre semana, dependiendo de la fecha de entrega de la práctica o proyecto. Se seleccionará el día en el que la mayoría de estudiantes tenga disponibilidad. De forma regular, las calificaciones se llevan a cabo los días sábados.</t>
  </si>
  <si>
    <t>Implementa</t>
  </si>
  <si>
    <t>analizadores léxicos</t>
  </si>
  <si>
    <r>
      <rPr>
        <rFont val="Arial"/>
        <b/>
        <color rgb="FFFFFF00"/>
      </rPr>
      <t>utilizando herramientas</t>
    </r>
    <r>
      <rPr>
        <rFont val="Arial"/>
        <color theme="1"/>
      </rPr>
      <t xml:space="preserve"> y conocimientos de AFD</t>
    </r>
  </si>
  <si>
    <t>para definir cada estado del autómata y reconocer tokens</t>
  </si>
  <si>
    <t xml:space="preserve">5.  Mostrar Programa del Curso                 </t>
  </si>
  <si>
    <t>No puedes excederte mas de 30 minutos</t>
  </si>
  <si>
    <t xml:space="preserve">6. Evaluación de Conocimientos del Curso Actual                                  </t>
  </si>
  <si>
    <t xml:space="preserve">Redactaras 20 preguntas con sus respectivas respuestas </t>
  </si>
  <si>
    <t>1. JavaScript fue creado originalmente en 1995 por Brendan Eich.
Verdadero
2. JavaScript es un lenguaje compilado.
Falso
3. Menciona una buena práctica en JavaScript.
Usar nombres de variables descriptivos
4. Las librerías en JavaScript permiten reutilizar código ya escrito.
Verdadero
5. En JavaScript, los arreglos pueden contener diferentes tipos de datos en la misma estructura.
Verdadero
6. Los diccionarios en JavaScript se representan normalmente con objetos {}.
Verdadero
7. ¿Qué ciclo es más adecuado cuando no sabemos cuántas veces se repetirá la iteración?
While
8. En JavaScript, para leer y escribir archivos en el navegador se usa directamente fs.
Falso
9. Un lenguaje natural es ambiguo y depende del contexto.
Verdadero
10. Los lenguajes formales son precisos, definidos por reglas y sin ambigüedad.
Verdadero
11. Menciona un ejemplo de lenguaje de programación de tercera generación.
C, Java, Python
12. Un intérprete traduce y ejecuta el código instrucción por instrucción.
Verdadero
13. El compilador traduce todo el código fuente a un lenguaje máquina antes de ejecutarse.
Verdadero
14. La Jerarquía de Chomsky clasifica gramáticas en cuatro tipos.
Verdadero
15. Un token es la unidad más pequeña que reconoce un analizador léxico.
Verdadero
16. ¿Cómo se llaman los errores detectados por el analizador léxico?
Errores léxicos
17. Las expresiones regulares son útiles para definir patrones en cadenas.
Verdadero
18. Un autómata finito determinista (AFD) puede tener múltiples transiciones con el mismo símbolo desde un estado.
Falso
19. El método del árbol permite la conversión de un AFN a un AFD.
Verdadero
20. Los autómatas de pila reconocen lenguajes libres de contexto.
Verdadero</t>
  </si>
  <si>
    <t>Construir</t>
  </si>
  <si>
    <t>analizadores sintacticos</t>
  </si>
  <si>
    <t>utilizando conocimientos de Gramáticas Libres del Contexto, POO, recursividad y programación imperativa</t>
  </si>
  <si>
    <t>para definir cada regla sintáctica</t>
  </si>
  <si>
    <t>El estudiante aplica</t>
  </si>
  <si>
    <t xml:space="preserve">el análisis sintáctico </t>
  </si>
  <si>
    <t>mediante el uso de gramáticas formales y técnicas de parsing (descendente o ascendente)</t>
  </si>
  <si>
    <t>para verificar la estructura gramatical y construir árboles sintácticos que permitan solucionar problemas relacionados con la interpretación de lenguajes formales.</t>
  </si>
  <si>
    <t>Aplicar</t>
  </si>
  <si>
    <t>Comprender</t>
  </si>
  <si>
    <t>el funcionamiento del lenguaje de programación</t>
  </si>
  <si>
    <t>a través de su aplicación</t>
  </si>
  <si>
    <t>para la resolución de problemas relacionados con las fases del compilador</t>
  </si>
  <si>
    <t>analizador léxico y sintáctico</t>
  </si>
  <si>
    <t>en c++</t>
  </si>
  <si>
    <r>
      <rPr>
        <rFont val="Arial"/>
        <color theme="1"/>
        <sz val="11.0"/>
      </rPr>
      <t>El estudiante construye aplicaciones mediante el uso de analisis lexico y sintactico</t>
    </r>
    <r>
      <rPr>
        <rFont val="Arial"/>
        <b/>
        <color rgb="FFFFFF00"/>
        <sz val="11.0"/>
      </rPr>
      <t xml:space="preserve"> </t>
    </r>
    <r>
      <rPr>
        <rFont val="Arial"/>
        <b/>
        <color rgb="FFF1C232"/>
        <sz val="11.0"/>
      </rPr>
      <t>utilizando herramientas</t>
    </r>
    <r>
      <rPr>
        <rFont val="Arial"/>
        <color theme="1"/>
        <sz val="11.0"/>
      </rPr>
      <t xml:space="preserve"> de procesamiento de lenguajes formales.</t>
    </r>
  </si>
  <si>
    <r>
      <rPr>
        <rFont val="Arial"/>
        <b/>
        <color theme="1"/>
      </rPr>
      <t>Manual de competencias:</t>
    </r>
    <r>
      <rPr>
        <rFont val="Arial"/>
        <color theme="1"/>
      </rPr>
      <t xml:space="preserve"> </t>
    </r>
    <r>
      <rPr>
        <rFont val="Arial"/>
        <color rgb="FF1155CC"/>
        <u/>
      </rPr>
      <t>https://drive.google.com/file/d/1n5es0M20vXxa7i4eLN7pbgTXc2C1dmCQ/view?usp=sharing</t>
    </r>
  </si>
  <si>
    <r>
      <rPr>
        <rFont val="Arial"/>
        <b/>
        <color theme="1"/>
      </rPr>
      <t>Video de como hacer competencias:</t>
    </r>
    <r>
      <rPr>
        <rFont val="Arial"/>
        <color theme="1"/>
      </rPr>
      <t xml:space="preserve"> </t>
    </r>
    <r>
      <rPr>
        <rFont val="Arial"/>
        <color rgb="FF1155CC"/>
        <u/>
      </rPr>
      <t>https://youtu.be/C8Q9dKo4t-w?si=yErgF_ihe1tsaHM0</t>
    </r>
  </si>
  <si>
    <t>Si las competencias son las misma que el semetre anterior compartenos tu opinion de porque no se cambiaron</t>
  </si>
  <si>
    <t>NOTAS Zulma Aguirre</t>
  </si>
  <si>
    <t>Competencia 2,3 y 7</t>
  </si>
  <si>
    <t>En este curso no se permite usar herramientas para generación de gramáticas, autómatas o código fuente.</t>
  </si>
  <si>
    <t>Diseño de la Sesión de Laboratorio</t>
  </si>
  <si>
    <t>Ponderación</t>
  </si>
  <si>
    <t>Validación de Tiempo</t>
  </si>
  <si>
    <t>1. Área Actitudinal (Saber Ser)</t>
  </si>
  <si>
    <t>Tiene que estar en un rango de 3 a 5 minutos</t>
  </si>
  <si>
    <t>Nombre del Valor</t>
  </si>
  <si>
    <t>Responsabilidad</t>
  </si>
  <si>
    <t>Descripcion</t>
  </si>
  <si>
    <t>La responsabilidad implica asumir con seriedad y compromiso cada tarea de aprendizaje, comprendiendo que los conocimientos adquiridos en clase serán la base para proyectos personales, académicos y profesionales.</t>
  </si>
  <si>
    <t>Disciplina</t>
  </si>
  <si>
    <t>Como se relaciona con los conocimientos de la sesion y se aplicaria</t>
  </si>
  <si>
    <t>El estudiante debe ser responsable en practicar la sintaxis básica para evitar errores comunes.
Al comprender los fundamentos, podrá aplicarlos luego en proyectos más complejos.
Se espera que asuma el rol de programador consciente, que entiende que su código no solo debe funcionar, sino también ser claro, organizado y fácil de mantener.</t>
  </si>
  <si>
    <t>La disciplina se refiere a la constancia y la capacidad de mantener un hábito de estudio ordenado y enfocado.</t>
  </si>
  <si>
    <t>2. Área Conocimiento (Saber)</t>
  </si>
  <si>
    <t>El estudiante necesita ser disciplinado para aprender y practicar la sintaxis del lenguaje de manera correcta.
Requiere orden para aplicar las buenas prácticas de programación (como nombrar variables correctamente o comentar el código).</t>
  </si>
  <si>
    <t>No puede exceder los 60 minutos</t>
  </si>
  <si>
    <t>Competencia a desarrollar</t>
  </si>
  <si>
    <t xml:space="preserve">Comprender aspectos importantes sobre el lenguaje utilizado a través de su aplicación para implementar lo aprendido durante las clases teóricas </t>
  </si>
  <si>
    <t>2.1 Contenido</t>
  </si>
  <si>
    <t>Unidad</t>
  </si>
  <si>
    <t xml:space="preserve">Tema </t>
  </si>
  <si>
    <t>Sub Tema</t>
  </si>
  <si>
    <t>Perseverancia</t>
  </si>
  <si>
    <t>2 minutos</t>
  </si>
  <si>
    <t>Es la capacidad de mantener el esfuerzo y la determinación para alcanzar una meta a pesar de los obstáculos, las dificultades o los fracasos que puedan surgir en el camino.</t>
  </si>
  <si>
    <t>Frecuentemente requieren un alto nivel de comprensión llegar a entender el funcionamiento de estructuras de datos.</t>
  </si>
  <si>
    <t>2.2 Recursos Educativos</t>
  </si>
  <si>
    <t>Tipo de Recurso a utilizar</t>
  </si>
  <si>
    <t>Valor maximo recomendado en Minutos</t>
  </si>
  <si>
    <t>Tiempo Aproximado ( unicamente el valor de minutos )</t>
  </si>
  <si>
    <t>Presentacion</t>
  </si>
  <si>
    <t>Obligatorio</t>
  </si>
  <si>
    <t>Video</t>
  </si>
  <si>
    <t>Lectura</t>
  </si>
  <si>
    <t>Optativo</t>
  </si>
  <si>
    <t>Ejercicio Demostrativo</t>
  </si>
  <si>
    <t>3. Área de Habilidades (Saber Hacer)</t>
  </si>
  <si>
    <t>Tiene que estar en un rango de 30 a 50 minutos</t>
  </si>
  <si>
    <t>Actividad 1 (Obligatoria)</t>
  </si>
  <si>
    <t>Competencia que predomina en la actividad</t>
  </si>
  <si>
    <t>actividades</t>
  </si>
  <si>
    <t>Cuestionario</t>
  </si>
  <si>
    <t>Coloca el tiempo que usar en la actividad, un tiempo sugerido 30 minutos</t>
  </si>
  <si>
    <t>Descripcion de la Actividad</t>
  </si>
  <si>
    <t>Actividad 2 (Optativa puedes hacerla si lo consideras apropiado)</t>
  </si>
  <si>
    <t>Coloca el tiempo que usar en la actividad, un tiempo sugerido 20 minutos</t>
  </si>
  <si>
    <t>3. Cierre</t>
  </si>
  <si>
    <t>Tiene que estar en un rango de 10 a 15 minutos</t>
  </si>
  <si>
    <t>Asignacion de Actividades</t>
  </si>
  <si>
    <t>Resuelve alguna duda, asigna las actividades que deben realizar, dudas de proyectos, etc</t>
  </si>
  <si>
    <t>EXAMEN CORTO 1: Se establecerá un cuestionario con conceptos básicos sobre programación y sobre el lenguaje.</t>
  </si>
  <si>
    <t>Pensamiento critico</t>
  </si>
  <si>
    <t>Es la capacidad de analizar, evaluar y cuestionar la información de manera lógica, objetiva y racional para formarse un juicio o tomar decisiones fundamentadas. Implica no aceptar ideas o argumentos sin examinarlos cuidadosamente, considerando la evidencia, los supuestos, las implicaciones y posibles sesgos.</t>
  </si>
  <si>
    <t>Los lenguajes de programación y su evolución no son solo una cuestión de memorizar reglas, sino también de comprender por qué ciertas decisiones se tomaron en el diseño de lenguajes.</t>
  </si>
  <si>
    <t>El estudiante construye aplicaciones mediante el uso de analisis lexico y sintactico utilizando herramientas de procesamiento de lenguajes formales.</t>
  </si>
  <si>
    <t>Paciencia</t>
  </si>
  <si>
    <t>Es la capacidad de mantener la calma, la serenidad y el control emocional ante situaciones difíciles, retrasos, frustraciones o cuando los resultados deseados tardan en llegar.</t>
  </si>
  <si>
    <t>Es esencial para superar los obstáculos que se presentan al implementar o estudiar estas herramientas ya que comprender cómo funcionan los compiladores e intérpretes y las estructuras que los componen puede ser desafiante y requerir tiempo.</t>
  </si>
  <si>
    <t>Se les solicitará a los estudiantes realizar un programa en consola que sea capaz de parsear un archivo con formato csv utilizando únicamente funciones nativas del lenguaje de programación</t>
  </si>
  <si>
    <t>Curiosidad</t>
  </si>
  <si>
    <t>5 minutos</t>
  </si>
  <si>
    <t>Se estimula al presentarse contenidos nuevos que despiertan interés por aprender.</t>
  </si>
  <si>
    <t>La curiosidad es fundamental en el estudio de lenguajes formales porque impulsa al estudiante.</t>
  </si>
  <si>
    <t>Autoconocimiento</t>
  </si>
  <si>
    <t>Permite al estudiante identificar sus fortalezas, intereses y aspectos personales relevantes.</t>
  </si>
  <si>
    <t>El autoconocimiento permite al estudiante reflexionar sobre su proceso de aprendizaje al enfrentar conceptos abstractos como autómatas, gramáticas y análisis léxico/sintáctico.</t>
  </si>
  <si>
    <t>20 a 25 minutos</t>
  </si>
  <si>
    <t>25 minutos</t>
  </si>
  <si>
    <t>5 a 10 minutos</t>
  </si>
  <si>
    <t>10 minutos</t>
  </si>
  <si>
    <t>10 a 15 minutos</t>
  </si>
  <si>
    <t>15 minutos</t>
  </si>
  <si>
    <t>Ejercicio practico</t>
  </si>
  <si>
    <t>40 minutos</t>
  </si>
  <si>
    <t>Dibujar el árbol sintáctico de una expresión regular dada.</t>
  </si>
  <si>
    <t>Correcto</t>
  </si>
  <si>
    <t>Construir e implementar AFD en codigo</t>
  </si>
  <si>
    <t>Compromiso</t>
  </si>
  <si>
    <t>Se impulsa al conocer y aceptar activamente el programa del curso.</t>
  </si>
  <si>
    <t>El compromiso es esencial en el estudio de lenguajes formales porque este campo requiere:
Dedicación constante para dominar conceptos abstractos y secuenciales.</t>
  </si>
  <si>
    <t xml:space="preserve">Implementar un proyecto de analisis lexico y sintactico con el lenguaje Python y PLY con una interfaz grafica en Tkinter </t>
  </si>
  <si>
    <t xml:space="preserve"> Aborda problemas complejos como los autómatas de pila sin rendirse.</t>
  </si>
  <si>
    <t>Generar un diagrama de una AFD en formato DOT.</t>
  </si>
  <si>
    <t>La sumatoria de los puntos de los proyectos debe superar el  60% del total de la nota, no puede ser un 100%</t>
  </si>
  <si>
    <t>1. Primer Proyecto</t>
  </si>
  <si>
    <t>Horas para realizarlo</t>
  </si>
  <si>
    <t>En el primer proyecto se aplica principalmente lenguajes regulares (tipo 3).</t>
  </si>
  <si>
    <r>
      <rPr>
        <rFont val="Arial"/>
        <color theme="1"/>
      </rPr>
      <t xml:space="preserve">Construir analizadores sintacticos utilizando conocimientos de </t>
    </r>
    <r>
      <rPr>
        <rFont val="Arial"/>
        <b/>
        <color rgb="FFFF0000"/>
      </rPr>
      <t>Gramáticas Libres del Contexto</t>
    </r>
    <r>
      <rPr>
        <rFont val="Arial"/>
        <color theme="1"/>
      </rPr>
      <t xml:space="preserve">, POO, recursividad y programación imperativa para definir cada regla sintáctica </t>
    </r>
  </si>
  <si>
    <t>Construir analizadores léxicos utilizando conocimientos de AFD, POO, recursividad y programación imperativa para definir cada estado del AFD</t>
  </si>
  <si>
    <t>El estudiante construye aplicaciones mediante el uso de análisis léxico y sintáctico utilizando herramientas de procesamiento de lenguajes formales</t>
  </si>
  <si>
    <t>Titulo</t>
  </si>
  <si>
    <t>Parser JS</t>
  </si>
  <si>
    <t>Qué tecnologías, lenguajes de programación, plataformas, hardware o software se utilizaran</t>
  </si>
  <si>
    <t>Python, Java, C++</t>
  </si>
  <si>
    <t>Descripción de lo que se realizara</t>
  </si>
  <si>
    <t>Construir analizadores léxicos aplicando conocimientos de
autómatas finitos deterministas (AFD), programación orientada a
objetos, recursividad y paradigmas de programación imperativos,
con el fin de definir los estados del AFD, procesar archivos de
entrada con una sintaxis establecida y reportar tokens y errores
léxicos con precisión.</t>
  </si>
  <si>
    <t>2. Segundo Proyecto</t>
  </si>
  <si>
    <t>Practicas</t>
  </si>
  <si>
    <t>Construir analizadores sintácticos utilizando conocimientos de Gramáticas Libres del Contexto, POO, recursividad y programación imperativa para definir cada regla sintáctica</t>
  </si>
  <si>
    <t>Diseño e Implementación de un Intérprete de Lenguaje Propio mediante Análisis Léxico y Sintáctico</t>
  </si>
  <si>
    <t>Lenguaje de programación: Cualquier lenguaje de programación orientado a objetos o imperativo (Python, Java, C++, JavaScript, entre otros).
Herramientas de análisis léxico y sintáctico: Herramienta generadora de analizadores compatible con el lenguaje elegido (SLY, ANTLR4, JFlex/CUP, Lark, Flex/Bison, entre otras), o bien implementación manual mediante AFD y GLC.
Interfaz de usuario: Interfaz gráfica o de consola que permita la interacción con el intérprete, utilizando la librería o framework de preferencia según el lenguaje seleccionado.
Entorno de desarrollo: IDE o editor de código a elección del estudiante (VS Code, IntelliJ, PyCharm, Eclipse, entre otros).
Control de versiones: Git con repositorio remoto (GitHub, GitLab o similar)</t>
  </si>
  <si>
    <t>En este curso, no se prermite usar herramientas o librerías para generar código (analizador léxico o sintáctico).</t>
  </si>
  <si>
    <t>Autonomía</t>
  </si>
  <si>
    <t>La sumatoria de los puntos de los practicas debe no debe super el  20%</t>
  </si>
  <si>
    <t xml:space="preserve">El estudiante diseñará e implementará un intérprete para un lenguaje de programación, aplicando las dos fases principales de un compilador. En la fase léxica, definirá los tokens del lenguaje (palabras reservadas, operadores, identificadores, literales) y construirá un analizador léxico capaz de reconocerlos y reportar errores léxicos. En la fase sintáctica, diseñará una gramática libre de contexto (GLC) que describa la estructura del lenguaje e implementará un analizador sintáctico que valide expresiones, estructuras de control y/o declaraciones, generando un árbol de derivación o reporte de errores sintácticos. El proyecto debe contar con una interfaz gráfica que permita al usuario ingresar código fuente y visualizar los tokens reconocidos, el árbol sintáctico y los errores encontrados.
</t>
  </si>
  <si>
    <t>1. Primera Practica</t>
  </si>
  <si>
    <t>Obligatoria</t>
  </si>
  <si>
    <t>3. Tercer Proyecto</t>
  </si>
  <si>
    <t>Optativa</t>
  </si>
  <si>
    <t>Desarrolla aplicaciones de análisis sintáctico de forma independiente.</t>
  </si>
  <si>
    <t>Falta la definición de la práctica (solamente es una práctica).</t>
  </si>
  <si>
    <t>2. Segunda Practica</t>
  </si>
  <si>
    <t>3. Tercera Practica</t>
  </si>
  <si>
    <t>4. Cuarta Practica</t>
  </si>
  <si>
    <t>5. Quinta Practica</t>
  </si>
  <si>
    <t>6. Sexta Practica</t>
  </si>
  <si>
    <t>7. Septima Practica</t>
  </si>
  <si>
    <t>La sumatoria de los puntos de los practicas debe no debe super el  10% de la nota</t>
  </si>
  <si>
    <t>Tarea de fortalecimiento académico</t>
  </si>
  <si>
    <t>Obligatoria se debe dejar en la sesion de diagnistico</t>
  </si>
  <si>
    <t>Investigación sobre la historia y evolución de los lenguajes de programación</t>
  </si>
  <si>
    <t>Codigo-Nombre</t>
  </si>
  <si>
    <t>Navegador web, procesador de texto o Markdown, repositorio GitHub/GitLab</t>
  </si>
  <si>
    <t>Competencias</t>
  </si>
  <si>
    <t>17 - Área Social Humanística 1</t>
  </si>
  <si>
    <t>Que conocimientos base y competencias esenciales se deben reforzar que permitan al estudiante afrontar con mayor solidez los contenidos del curso</t>
  </si>
  <si>
    <t>101 - Área Matemática Básica 1</t>
  </si>
  <si>
    <t>Conceptos básicos de programación, comprensión lectora y capacidad de síntesis para investigación académica</t>
  </si>
  <si>
    <t>Identifica oportunidades y riesgos para la innovación y adaptación de
 conocimientos y tecnologías para resolver problemas.</t>
  </si>
  <si>
    <t>Aplica estándares de calidad, eficiencia y seguridad en la implementación
 adecuada de soluciones de software, hardware y TIC en general.</t>
  </si>
  <si>
    <t>5 - Técnicas de Estudio e Investigación</t>
  </si>
  <si>
    <t>39 - Deportes 1</t>
  </si>
  <si>
    <t>Toma decisiones profesionales con base en fundamentos teóricos, datos e
 información pertinente, válida y confiable.</t>
  </si>
  <si>
    <t>Maneja e Interpreta adecuadamente datos masivos, sean estos
 estructurados o no estructurados, facilitando su visualización e interpretación
 de forma eficaz en apoyo a la toma de decisiones.</t>
  </si>
  <si>
    <t>6 - Idioma Tecnico 1</t>
  </si>
  <si>
    <t>Demuestra destreza y habilidad en la selección, uso y adaptación de
 herramientas metodológicas, tecnológicas, equipos especializados y en la
 lectura e interpretación de datos, pertinentes al contexto de su ejercicio
 profesional.</t>
  </si>
  <si>
    <t>Domina diversos recursos de comunicación con el objetivo de presentar
 adecuadamente sus propuestas a variados tipos de audiencias, en idioma
 español, inglés e idealmente en un tercer idioma acorde a las necesidades
 globales.</t>
  </si>
  <si>
    <t>19 - Área Social Humanística 2</t>
  </si>
  <si>
    <t>Identifica sus necesidades de actualización, capacitación y formación,
 durante su proceso formativo y en el ejercicio profesional, y busca los medios
 para cubrirlas por medios formales e informales, nacionales e
 internacionales, presenciales y en línea.</t>
  </si>
  <si>
    <t>Construye soluciones integrales trabajando en forma colaborativa y
 propositiva en equipos interdisciplinarios, en forma presencial o utilizando
 plataformas virtuales.</t>
  </si>
  <si>
    <t>103 - Área Matemática Básica 2</t>
  </si>
  <si>
    <t>1. Primera Tarea</t>
  </si>
  <si>
    <t>Comunica a diversos públicos, información de su campo profesional, en
 varios lenguajes y formatos de manera asertiva, clara, rigurosa y precisa, con
 el uso apropiado de recursos tecnológicos.</t>
  </si>
  <si>
    <t>960 - Matemática Para Computación 1</t>
  </si>
  <si>
    <t>147 - Física Básica</t>
  </si>
  <si>
    <t>Lidera y colabora proactivamente en equipos de trabajo y en comunidades
 profesionales para el logro de objetivos y mejoramiento de la calidad de vida.</t>
  </si>
  <si>
    <t>40 - Deportes 2</t>
  </si>
  <si>
    <t>8 - Idioma Técnico 2</t>
  </si>
  <si>
    <t>795 - Logica de Sitemas</t>
  </si>
  <si>
    <t>962 - Matemática Para Computación 2</t>
  </si>
  <si>
    <t>770 - Introducción a ala programación y computación 1</t>
  </si>
  <si>
    <t>107 - Área Matemática Intermedia 1</t>
  </si>
  <si>
    <t>150 - Fisica 1</t>
  </si>
  <si>
    <t>1 - Ética Profesional</t>
  </si>
  <si>
    <t>9 - Idioma Técnico 3</t>
  </si>
  <si>
    <t>771 - Introducción a la Programación y Computación 2</t>
  </si>
  <si>
    <t>112 - Área Matemática Intermedia 2</t>
  </si>
  <si>
    <t>114 - Área Matemática Intermedia 3</t>
  </si>
  <si>
    <t>152 - Física 2</t>
  </si>
  <si>
    <t>10 - Lógica</t>
  </si>
  <si>
    <t>11 - Idioma Técnico 4</t>
  </si>
  <si>
    <t>2025 - Prácticas Iniciales</t>
  </si>
  <si>
    <t>732 - Estadística 1</t>
  </si>
  <si>
    <t>777 - Organización de Lenguajes y Compiladores 1</t>
  </si>
  <si>
    <t>964 - Organización Computacional</t>
  </si>
  <si>
    <t>772 - Estructuras de Datos</t>
  </si>
  <si>
    <t>116 - Matemática Aplicada 3</t>
  </si>
  <si>
    <t>118 - Matemática Aplicada 1</t>
  </si>
  <si>
    <t>18 - Filosofía de la Ciencia</t>
  </si>
  <si>
    <t>722 - Teoría de Sistemas 1</t>
  </si>
  <si>
    <t>601 - Investigación de Operaciones 1</t>
  </si>
  <si>
    <t>14 - Economía</t>
  </si>
  <si>
    <t>781 - Organización de Lenguajes y Compiladores 2</t>
  </si>
  <si>
    <t>778 - Arquitectura de Computadoras y Ensambladores 1</t>
  </si>
  <si>
    <t>773 - Manejo e Implementación de Archivos</t>
  </si>
  <si>
    <t>122 - Matemática Aplicada 4</t>
  </si>
  <si>
    <t>120 - Matemática Aplicada 2</t>
  </si>
  <si>
    <t>200 - Ingeniería Eléctrica 1</t>
  </si>
  <si>
    <t>724 - Teoría de Sistemas 2</t>
  </si>
  <si>
    <t>603 - Investigación de Operaciones 2</t>
  </si>
  <si>
    <t>734 - Estadística 2</t>
  </si>
  <si>
    <t>281 - Sistemas Operativos 1</t>
  </si>
  <si>
    <t>779 - Arquitectura de Computadoras y Ensambladores 2</t>
  </si>
  <si>
    <t>970 - Redes de Computadoras 1</t>
  </si>
  <si>
    <t>774 - Sistemas de Bases de Datos 1</t>
  </si>
  <si>
    <t>2036 - Prácticas Intermedias</t>
  </si>
  <si>
    <t>285 - Sistemas Operativos 2</t>
  </si>
  <si>
    <t>Construcción de AFN a partir de expresiones regulares (Thompson)</t>
  </si>
  <si>
    <t>975 - Redes de Computadoras 2</t>
  </si>
  <si>
    <t>775 - Sistemas de Bases de Datos 2</t>
  </si>
  <si>
    <t>283 - Análisis y Diseño de Sistemas 1</t>
  </si>
  <si>
    <t>797 - Seminario de Sistemas 1</t>
  </si>
  <si>
    <t>700 - Ingeniería Económica 1</t>
  </si>
  <si>
    <t>729 - Modelación y Simulación 1</t>
  </si>
  <si>
    <t>786 - Sistemas Organizacionales y Gerenciales 1</t>
  </si>
  <si>
    <t>972 - Inteligencia Artificial 1</t>
  </si>
  <si>
    <t>966 - Seguridad y Auditoría de Redes de Computadoras</t>
  </si>
  <si>
    <t>785 - Análisis y Diseño de Sistemas 2</t>
  </si>
  <si>
    <t>798 - Seminario de Sistemas 2</t>
  </si>
  <si>
    <t>788 - Sistemas Aplicados 1</t>
  </si>
  <si>
    <t>Herramientas de diagramación (Draw.io, papel), procesador de texto o Markdown, repositorio GitHub/GitLab</t>
  </si>
  <si>
    <t>776 - Bases de Datos Avanzadas</t>
  </si>
  <si>
    <t>2009 - Prácticas Finales Ingeniería Ciencias y Sistemas</t>
  </si>
  <si>
    <t>720 - Modelación y Simulación 2</t>
  </si>
  <si>
    <t>787 - Sistemas Organizacionales y Gerenciales 2</t>
  </si>
  <si>
    <t>790 - Emprendedores de Negocios Informáticos</t>
  </si>
  <si>
    <t>968 - Inteligencia Artificial 2</t>
  </si>
  <si>
    <t>974 - Redes de Nueva Generación</t>
  </si>
  <si>
    <t>780 - Software Avanzado</t>
  </si>
  <si>
    <t>789 - Sistemas Aplicados 2</t>
  </si>
  <si>
    <t>735 - Auditoría de Proyectos de Software</t>
  </si>
  <si>
    <t>7999 - Seminario de Investigación EPS Sistemas</t>
  </si>
  <si>
    <t>799 - Seminario de Investigación</t>
  </si>
  <si>
    <t>90 - Programacion de Computadoras 1</t>
  </si>
  <si>
    <t>92 - Programacion de Computadoras 2</t>
  </si>
  <si>
    <t>667 - Programacion Comercial 1</t>
  </si>
  <si>
    <t>768 - Algoritmos</t>
  </si>
  <si>
    <t>0089 - Comunicación Asertiva</t>
  </si>
  <si>
    <t>El estudiante definirá 3 expresiones regulares y construirá el AFN equivalente de cada una aplicando las reglas de construcción de Thompson, elaborando tablas de transición, diagramas y validando con cadenas de prueba.</t>
  </si>
  <si>
    <t>2. Segunda Tarea</t>
  </si>
  <si>
    <t>Conversión de AFN a AFD mediante construcción de subconjuntos</t>
  </si>
  <si>
    <t>l estudiante convertirá un AFN con transiciones épsilon a su AFD equivalente aplicando el algoritmo de construcción de subconjuntos, calculando cerraduras épsilon, generando la tabla de transiciones del AFD y validando con cadenas de prueba.</t>
  </si>
  <si>
    <t>3. Tercera Tarea</t>
  </si>
  <si>
    <t>Implementación de un analizador léxico basado en AFD</t>
  </si>
  <si>
    <t>Lenguaje de programación especificado por el tutor, editor de código, repositorio GitHub/GitLab</t>
  </si>
  <si>
    <t>El estudiante implementará un analizador léxico funcional que reconozca al menos 5 categorías de tokens (palabras reservadas, identificadores, números, operadores, signos de agrupación) usando POO, procesando archivos de entrada y reportando errores léxicos.</t>
  </si>
  <si>
    <t>4. Cuarta Tarea</t>
  </si>
  <si>
    <t>Construcción de tabla de análisis SLR(1) y análisis de cadenas</t>
  </si>
  <si>
    <t>Herramientas de diagramación, procesador de texto o Markdown, repositorio GitHub/GitLab</t>
  </si>
  <si>
    <t xml:space="preserve">El estudiante construirá la tabla de análisis SLR(1) para una GLC proporcionada: aumentar la gramática, generar conjuntos de ítems LR(0), calcular FOLLOW, construir tabla ACTION/GOTO y analizar al menos 3 cadenas mostrando la traza completa del parser.
</t>
  </si>
  <si>
    <t>5. Quinta Tarea</t>
  </si>
  <si>
    <t>6. Sexta Tarea</t>
  </si>
  <si>
    <t>7. Septima Tarea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</si>
</sst>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30">
    <font>
      <sz val="10.0"/>
      <color rgb="FF000000"/>
      <name val="Arial"/>
      <scheme val="minor"/>
    </font>
    <font>
      <color theme="1"/>
      <name val="Arial"/>
    </font>
    <font>
      <b/>
      <sz val="12.0"/>
      <color rgb="FFFF6D01"/>
      <name val="Arial"/>
    </font>
    <font>
      <b/>
      <color theme="1"/>
      <name val="Arial"/>
    </font>
    <font>
      <sz val="12.0"/>
      <color rgb="FFB7B7B7"/>
      <name val="Arial"/>
    </font>
    <font>
      <b/>
      <sz val="12.0"/>
      <color theme="1"/>
      <name val="Arial"/>
    </font>
    <font/>
    <font>
      <color rgb="FFFFFFFF"/>
      <name val="Arial"/>
    </font>
    <font>
      <b/>
      <sz val="12.0"/>
      <color rgb="FFFBBC04"/>
      <name val="Arial"/>
    </font>
    <font>
      <sz val="12.0"/>
      <color theme="1"/>
      <name val="Arial"/>
    </font>
    <font>
      <b/>
      <sz val="12.0"/>
      <color theme="8"/>
      <name val="Arial"/>
    </font>
    <font>
      <color rgb="FFB7B7B7"/>
      <name val="Arial"/>
    </font>
    <font>
      <b/>
      <sz val="11.0"/>
      <color theme="1"/>
      <name val="Arial"/>
    </font>
    <font>
      <sz val="12.0"/>
      <color rgb="FF404040"/>
      <name val="Inter"/>
    </font>
    <font>
      <b/>
      <sz val="13.0"/>
      <color theme="4"/>
      <name val="Arial"/>
    </font>
    <font>
      <b/>
      <sz val="12.0"/>
      <color theme="4"/>
      <name val="Arial"/>
    </font>
    <font>
      <color rgb="FF999999"/>
      <name val="Arial"/>
    </font>
    <font>
      <color theme="1"/>
      <name val="Arial"/>
      <scheme val="minor"/>
    </font>
    <font>
      <b/>
      <color theme="1"/>
      <name val="Arial"/>
      <scheme val="minor"/>
    </font>
    <font>
      <sz val="11.0"/>
      <color theme="1"/>
      <name val="PplxSans"/>
    </font>
    <font>
      <b/>
      <sz val="13.0"/>
      <color rgb="FF4285F4"/>
      <name val="Arial"/>
    </font>
    <font>
      <sz val="11.0"/>
      <color theme="1"/>
      <name val="Arial"/>
    </font>
    <font>
      <b/>
      <sz val="12.0"/>
      <color rgb="FF4285F4"/>
      <name val="Arial"/>
    </font>
    <font>
      <u/>
      <color theme="1"/>
      <name val="Arial"/>
    </font>
    <font>
      <b/>
      <color rgb="FFCC0000"/>
      <name val="Arial"/>
    </font>
    <font>
      <b/>
      <sz val="12.0"/>
      <color rgb="FFFFFFFF"/>
      <name val="Arial"/>
    </font>
    <font>
      <color rgb="FFCCCCCC"/>
      <name val="Arial"/>
    </font>
    <font>
      <color rgb="FFD9D9D9"/>
      <name val="Arial"/>
    </font>
    <font>
      <color rgb="FF000000"/>
      <name val="Arial"/>
      <scheme val="minor"/>
    </font>
    <font>
      <color rgb="FF000000"/>
      <name val="Arial"/>
    </font>
  </fonts>
  <fills count="19">
    <fill>
      <patternFill patternType="none"/>
    </fill>
    <fill>
      <patternFill patternType="lightGray"/>
    </fill>
    <fill>
      <patternFill patternType="solid">
        <fgColor rgb="FFEFEFEF"/>
        <bgColor rgb="FFEFEFEF"/>
      </patternFill>
    </fill>
    <fill>
      <patternFill patternType="solid">
        <fgColor rgb="FFF3F3F3"/>
        <bgColor rgb="FFF3F3F3"/>
      </patternFill>
    </fill>
    <fill>
      <patternFill patternType="solid">
        <fgColor rgb="FFFFF2CC"/>
        <bgColor rgb="FFFFF2CC"/>
      </patternFill>
    </fill>
    <fill>
      <patternFill patternType="solid">
        <fgColor rgb="FFFFFFFF"/>
        <bgColor rgb="FFFFFFFF"/>
      </patternFill>
    </fill>
    <fill>
      <patternFill patternType="solid">
        <fgColor rgb="FF4285F4"/>
        <bgColor rgb="FF4285F4"/>
      </patternFill>
    </fill>
    <fill>
      <patternFill patternType="solid">
        <fgColor rgb="FFD9D9D9"/>
        <bgColor rgb="FFD9D9D9"/>
      </patternFill>
    </fill>
    <fill>
      <patternFill patternType="solid">
        <fgColor rgb="FFCFE2F3"/>
        <bgColor rgb="FFCFE2F3"/>
      </patternFill>
    </fill>
    <fill>
      <patternFill patternType="solid">
        <fgColor rgb="FFFFFF00"/>
        <bgColor rgb="FFFFFF00"/>
      </patternFill>
    </fill>
    <fill>
      <patternFill patternType="solid">
        <fgColor rgb="FFFF0000"/>
        <bgColor rgb="FFFF0000"/>
      </patternFill>
    </fill>
    <fill>
      <patternFill patternType="solid">
        <fgColor rgb="FFEAD1DC"/>
        <bgColor rgb="FFEAD1DC"/>
      </patternFill>
    </fill>
    <fill>
      <patternFill patternType="solid">
        <fgColor rgb="FFFF00FF"/>
        <bgColor rgb="FFFF00FF"/>
      </patternFill>
    </fill>
    <fill>
      <patternFill patternType="solid">
        <fgColor rgb="FF00FF00"/>
        <bgColor rgb="FF00FF00"/>
      </patternFill>
    </fill>
    <fill>
      <patternFill patternType="solid">
        <fgColor rgb="FF4A86E8"/>
        <bgColor rgb="FF4A86E8"/>
      </patternFill>
    </fill>
    <fill>
      <patternFill patternType="solid">
        <fgColor rgb="FFD9EAD3"/>
        <bgColor rgb="FFD9EAD3"/>
      </patternFill>
    </fill>
    <fill>
      <patternFill patternType="solid">
        <fgColor theme="4"/>
        <bgColor theme="4"/>
      </patternFill>
    </fill>
    <fill>
      <patternFill patternType="solid">
        <fgColor rgb="FFCCCCCC"/>
        <bgColor rgb="FFCCCCCC"/>
      </patternFill>
    </fill>
    <fill>
      <patternFill patternType="solid">
        <fgColor rgb="FFB7B7B7"/>
        <bgColor rgb="FFB7B7B7"/>
      </patternFill>
    </fill>
  </fills>
  <borders count="25">
    <border/>
    <border>
      <left style="double">
        <color rgb="FF434343"/>
      </left>
      <right style="double">
        <color rgb="FF434343"/>
      </right>
      <top style="double">
        <color rgb="FF434343"/>
      </top>
      <bottom style="double">
        <color rgb="FF434343"/>
      </bottom>
    </border>
    <border>
      <left style="double">
        <color rgb="FF434343"/>
      </left>
      <top style="double">
        <color rgb="FF434343"/>
      </top>
      <bottom style="double">
        <color rgb="FF434343"/>
      </bottom>
    </border>
    <border>
      <top style="double">
        <color rgb="FF434343"/>
      </top>
      <bottom style="double">
        <color rgb="FF434343"/>
      </bottom>
    </border>
    <border>
      <right style="double">
        <color rgb="FF434343"/>
      </right>
      <top style="double">
        <color rgb="FF434343"/>
      </top>
      <bottom style="double">
        <color rgb="FF434343"/>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double">
        <color rgb="FF434343"/>
      </left>
      <right style="double">
        <color rgb="FF434343"/>
      </right>
      <top style="double">
        <color rgb="FF434343"/>
      </top>
    </border>
    <border>
      <left style="double">
        <color rgb="FF434343"/>
      </left>
      <top style="double">
        <color rgb="FF434343"/>
      </top>
    </border>
    <border>
      <top style="double">
        <color rgb="FF434343"/>
      </top>
    </border>
    <border>
      <right style="double">
        <color rgb="FF434343"/>
      </right>
      <top style="double">
        <color rgb="FF434343"/>
      </top>
    </border>
    <border>
      <left style="dotted">
        <color rgb="FF000000"/>
      </left>
      <right style="dotted">
        <color rgb="FF000000"/>
      </right>
      <top style="dotted">
        <color rgb="FF000000"/>
      </top>
      <bottom style="dotted">
        <color rgb="FF000000"/>
      </bottom>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158">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Font="1"/>
    <xf borderId="0" fillId="0" fontId="3" numFmtId="0" xfId="0" applyFont="1"/>
    <xf borderId="0" fillId="0" fontId="3" numFmtId="0" xfId="0" applyAlignment="1" applyFont="1">
      <alignment readingOrder="0"/>
    </xf>
    <xf borderId="0" fillId="0" fontId="3" numFmtId="0" xfId="0" applyAlignment="1" applyFont="1">
      <alignment shrinkToFit="0" wrapText="1"/>
    </xf>
    <xf borderId="0" fillId="0" fontId="1" numFmtId="0" xfId="0" applyFont="1"/>
    <xf borderId="0" fillId="0" fontId="4" numFmtId="0" xfId="0" applyAlignment="1" applyFont="1">
      <alignment shrinkToFit="0" wrapText="1"/>
    </xf>
    <xf borderId="1" fillId="2" fontId="5" numFmtId="0" xfId="0" applyAlignment="1" applyBorder="1" applyFill="1" applyFont="1">
      <alignment shrinkToFit="0" vertical="bottom" wrapText="1"/>
    </xf>
    <xf borderId="2" fillId="2" fontId="5" numFmtId="0" xfId="0" applyAlignment="1" applyBorder="1" applyFill="1" applyFont="1">
      <alignment shrinkToFit="0" vertical="bottom" wrapText="1"/>
    </xf>
    <xf borderId="3" fillId="0" fontId="6" numFmtId="0" xfId="0" applyBorder="1" applyFont="1"/>
    <xf borderId="0" fillId="0" fontId="1" numFmtId="0" xfId="0" applyAlignment="1" applyFont="1">
      <alignment vertical="bottom"/>
    </xf>
    <xf borderId="4" fillId="0" fontId="6" numFmtId="0" xfId="0" applyBorder="1" applyFont="1"/>
    <xf borderId="0" fillId="0" fontId="7" numFmtId="0" xfId="0" applyFont="1"/>
    <xf borderId="0" fillId="3" fontId="1" numFmtId="0" xfId="0" applyAlignment="1" applyFill="1" applyFont="1">
      <alignment shrinkToFit="0" vertical="bottom" wrapText="1"/>
    </xf>
    <xf borderId="0" fillId="0" fontId="8" numFmtId="0" xfId="0" applyAlignment="1" applyFont="1">
      <alignment horizontal="center" vertical="bottom"/>
    </xf>
    <xf borderId="1" fillId="0" fontId="9" numFmtId="0" xfId="0" applyAlignment="1" applyBorder="1" applyFont="1">
      <alignment shrinkToFit="0" vertical="bottom" wrapText="1"/>
    </xf>
    <xf borderId="0" fillId="0" fontId="10" numFmtId="0" xfId="0" applyFont="1"/>
    <xf borderId="5" fillId="0" fontId="3" numFmtId="0" xfId="0" applyBorder="1" applyFont="1"/>
    <xf borderId="0" fillId="0" fontId="11" numFmtId="0" xfId="0" applyFont="1"/>
    <xf borderId="0" fillId="0" fontId="12" numFmtId="0" xfId="0" applyAlignment="1" applyFont="1">
      <alignment vertical="bottom"/>
    </xf>
    <xf borderId="1" fillId="0" fontId="1" numFmtId="0" xfId="0" applyAlignment="1" applyBorder="1" applyFont="1">
      <alignment horizontal="right" vertical="bottom"/>
    </xf>
    <xf borderId="5" fillId="0" fontId="12" numFmtId="0" xfId="0" applyAlignment="1" applyBorder="1" applyFont="1">
      <alignment vertical="bottom"/>
    </xf>
    <xf borderId="6" fillId="4" fontId="13" numFmtId="0" xfId="0" applyAlignment="1" applyBorder="1" applyFill="1" applyFont="1">
      <alignment horizontal="center" shrinkToFit="0" vertical="bottom" wrapText="1"/>
    </xf>
    <xf borderId="7" fillId="0" fontId="6" numFmtId="0" xfId="0" applyBorder="1" applyFont="1"/>
    <xf borderId="5" fillId="0" fontId="12" numFmtId="0" xfId="0" applyAlignment="1" applyBorder="1" applyFont="1">
      <alignment shrinkToFit="0" vertical="bottom" wrapText="1"/>
    </xf>
    <xf borderId="1" fillId="0" fontId="1" numFmtId="0" xfId="0" applyAlignment="1" applyBorder="1" applyFont="1">
      <alignment vertical="bottom"/>
    </xf>
    <xf borderId="2" fillId="0" fontId="1" numFmtId="0" xfId="0" applyAlignment="1" applyBorder="1" applyFont="1">
      <alignment vertical="bottom"/>
    </xf>
    <xf borderId="6" fillId="0" fontId="1" numFmtId="0" xfId="0" applyBorder="1" applyFont="1"/>
    <xf borderId="8" fillId="0" fontId="6" numFmtId="0" xfId="0" applyBorder="1" applyFont="1"/>
    <xf borderId="5" fillId="0" fontId="1" numFmtId="0" xfId="0" applyBorder="1" applyFont="1"/>
    <xf borderId="0" fillId="3" fontId="1" numFmtId="0" xfId="0" applyAlignment="1" applyFill="1" applyFont="1">
      <alignment horizontal="right" vertical="bottom"/>
    </xf>
    <xf borderId="5" fillId="0" fontId="1" numFmtId="0" xfId="0" applyAlignment="1" applyBorder="1" applyFont="1">
      <alignment readingOrder="0" shrinkToFit="0" wrapText="1"/>
    </xf>
    <xf borderId="5" fillId="5" fontId="13" numFmtId="0" xfId="0" applyAlignment="1" applyBorder="1" applyFill="1" applyFont="1">
      <alignment horizontal="center" shrinkToFit="0" vertical="bottom" wrapText="1"/>
    </xf>
    <xf borderId="5" fillId="0" fontId="1" numFmtId="0" xfId="0" applyAlignment="1" applyBorder="1" applyFont="1">
      <alignment vertical="bottom"/>
    </xf>
    <xf borderId="1" fillId="0" fontId="9" numFmtId="0" xfId="0" applyAlignment="1" applyBorder="1" applyFont="1">
      <alignment vertical="bottom"/>
    </xf>
    <xf borderId="6" fillId="0" fontId="1" numFmtId="0" xfId="0" applyAlignment="1" applyBorder="1" applyFont="1">
      <alignment readingOrder="0" vertical="bottom"/>
    </xf>
    <xf borderId="5" fillId="0" fontId="1" numFmtId="0" xfId="0" applyAlignment="1" applyBorder="1" applyFont="1">
      <alignment shrinkToFit="0" vertical="bottom" wrapText="1"/>
    </xf>
    <xf borderId="0" fillId="0" fontId="1" numFmtId="0" xfId="0" applyAlignment="1" applyFont="1">
      <alignment horizontal="center" shrinkToFit="0" vertical="center" wrapText="1"/>
    </xf>
    <xf borderId="5" fillId="0" fontId="1" numFmtId="0" xfId="0" applyAlignment="1" applyBorder="1" applyFont="1">
      <alignment readingOrder="0"/>
    </xf>
    <xf borderId="0" fillId="0" fontId="14" numFmtId="0" xfId="0" applyFont="1"/>
    <xf borderId="0" fillId="0" fontId="15" numFmtId="0" xfId="0" applyAlignment="1" applyFont="1">
      <alignment shrinkToFit="0" wrapText="1"/>
    </xf>
    <xf borderId="0" fillId="5" fontId="1" numFmtId="0" xfId="0" applyAlignment="1" applyFill="1" applyFont="1">
      <alignment vertical="bottom"/>
    </xf>
    <xf borderId="0" fillId="6" fontId="7" numFmtId="0" xfId="0" applyFill="1" applyFont="1"/>
    <xf borderId="5" fillId="0" fontId="1" numFmtId="0" xfId="0" applyAlignment="1" applyBorder="1" applyFont="1">
      <alignment vertical="bottom"/>
    </xf>
    <xf borderId="0" fillId="0" fontId="16" numFmtId="0" xfId="0" applyFont="1"/>
    <xf borderId="5" fillId="0" fontId="1" numFmtId="0" xfId="0" applyAlignment="1" applyBorder="1" applyFont="1">
      <alignment shrinkToFit="0" vertical="bottom" wrapText="1"/>
    </xf>
    <xf borderId="5" fillId="7" fontId="1" numFmtId="0" xfId="0" applyAlignment="1" applyBorder="1" applyFill="1" applyFont="1">
      <alignment shrinkToFit="0" vertical="bottom" wrapText="1"/>
    </xf>
    <xf borderId="5" fillId="5" fontId="13" numFmtId="0" xfId="0" applyAlignment="1" applyBorder="1" applyFill="1" applyFont="1">
      <alignment horizontal="center" vertical="bottom"/>
    </xf>
    <xf borderId="9" fillId="0" fontId="9" numFmtId="0" xfId="0" applyAlignment="1" applyBorder="1" applyFont="1">
      <alignment vertical="bottom"/>
    </xf>
    <xf borderId="5" fillId="0" fontId="9" numFmtId="0" xfId="0" applyAlignment="1" applyBorder="1" applyFont="1">
      <alignment horizontal="center" vertical="bottom"/>
    </xf>
    <xf borderId="5" fillId="0" fontId="1" numFmtId="0" xfId="0" applyBorder="1" applyFont="1"/>
    <xf borderId="6" fillId="0" fontId="1" numFmtId="0" xfId="0" applyAlignment="1" applyBorder="1" applyFont="1">
      <alignment vertical="bottom"/>
    </xf>
    <xf borderId="9" fillId="0" fontId="1" numFmtId="0" xfId="0" applyAlignment="1" applyBorder="1" applyFont="1">
      <alignment horizontal="right" vertical="bottom"/>
    </xf>
    <xf borderId="5" fillId="8" fontId="12" numFmtId="0" xfId="0" applyAlignment="1" applyBorder="1" applyFill="1" applyFont="1">
      <alignment horizontal="center" shrinkToFit="0" vertical="bottom" wrapText="1"/>
    </xf>
    <xf borderId="10" fillId="0" fontId="1" numFmtId="0" xfId="0" applyAlignment="1" applyBorder="1" applyFont="1">
      <alignment vertical="bottom"/>
    </xf>
    <xf borderId="5" fillId="0" fontId="17" numFmtId="0" xfId="0" applyAlignment="1" applyBorder="1" applyFont="1">
      <alignment readingOrder="0"/>
    </xf>
    <xf borderId="6" fillId="8" fontId="12" numFmtId="0" xfId="0" applyAlignment="1" applyBorder="1" applyFill="1" applyFont="1">
      <alignment horizontal="center" shrinkToFit="0" vertical="bottom" wrapText="1"/>
    </xf>
    <xf borderId="5" fillId="7" fontId="1" numFmtId="0" xfId="0" applyAlignment="1" applyBorder="1" applyFill="1" applyFont="1">
      <alignment shrinkToFit="0" wrapText="1"/>
    </xf>
    <xf borderId="11" fillId="0" fontId="6" numFmtId="0" xfId="0" applyBorder="1" applyFont="1"/>
    <xf borderId="12" fillId="0" fontId="6" numFmtId="0" xfId="0" applyBorder="1" applyFont="1"/>
    <xf borderId="5" fillId="0" fontId="1" numFmtId="0" xfId="0" applyAlignment="1" applyBorder="1" applyFont="1">
      <alignment horizontal="right" shrinkToFit="0" vertical="bottom" wrapText="1"/>
    </xf>
    <xf borderId="0" fillId="0" fontId="18" numFmtId="0" xfId="0" applyAlignment="1" applyFont="1">
      <alignment readingOrder="0"/>
    </xf>
    <xf borderId="5" fillId="7" fontId="5" numFmtId="0" xfId="0" applyAlignment="1" applyBorder="1" applyFill="1" applyFont="1">
      <alignment shrinkToFit="0" vertical="bottom" wrapText="1"/>
    </xf>
    <xf borderId="5" fillId="0" fontId="12" numFmtId="0" xfId="0" applyAlignment="1" applyBorder="1" applyFont="1">
      <alignment readingOrder="0" shrinkToFit="0" vertical="bottom" wrapText="1"/>
    </xf>
    <xf borderId="5" fillId="0" fontId="1" numFmtId="0" xfId="0" applyAlignment="1" applyBorder="1" applyFont="1">
      <alignment readingOrder="0" vertical="bottom"/>
    </xf>
    <xf borderId="5" fillId="0" fontId="1" numFmtId="0" xfId="0" applyAlignment="1" applyBorder="1" applyFont="1">
      <alignment readingOrder="0" shrinkToFit="0" vertical="bottom" wrapText="1"/>
    </xf>
    <xf borderId="5" fillId="9" fontId="1" numFmtId="0" xfId="0" applyAlignment="1" applyBorder="1" applyFill="1" applyFont="1">
      <alignment readingOrder="0" shrinkToFit="0" vertical="bottom" wrapText="1"/>
    </xf>
    <xf borderId="5" fillId="7" fontId="1" numFmtId="0" xfId="0" applyBorder="1" applyFill="1" applyFont="1"/>
    <xf borderId="5" fillId="7" fontId="1" numFmtId="0" xfId="0" applyAlignment="1" applyBorder="1" applyFill="1" applyFont="1">
      <alignment horizontal="right" vertical="bottom"/>
    </xf>
    <xf borderId="0" fillId="10" fontId="19" numFmtId="0" xfId="0" applyAlignment="1" applyFill="1" applyFont="1">
      <alignment readingOrder="0" shrinkToFit="0" wrapText="1"/>
    </xf>
    <xf borderId="13" fillId="11" fontId="5" numFmtId="0" xfId="0" applyAlignment="1" applyBorder="1" applyFill="1" applyFont="1">
      <alignment shrinkToFit="0" vertical="bottom" wrapText="1"/>
    </xf>
    <xf borderId="6" fillId="0" fontId="1" numFmtId="0" xfId="0" applyAlignment="1" applyBorder="1" applyFont="1">
      <alignment readingOrder="0"/>
    </xf>
    <xf borderId="8" fillId="10" fontId="1" numFmtId="0" xfId="0" applyAlignment="1" applyBorder="1" applyFill="1" applyFont="1">
      <alignment shrinkToFit="0" vertical="bottom" wrapText="1"/>
    </xf>
    <xf borderId="5" fillId="12" fontId="1" numFmtId="0" xfId="0" applyAlignment="1" applyBorder="1" applyFill="1" applyFont="1">
      <alignment readingOrder="0" shrinkToFit="0" vertical="bottom" wrapText="1"/>
    </xf>
    <xf borderId="0" fillId="0" fontId="20" numFmtId="0" xfId="0" applyFont="1"/>
    <xf borderId="6" fillId="13" fontId="1" numFmtId="0" xfId="0" applyAlignment="1" applyBorder="1" applyFill="1" applyFont="1">
      <alignment readingOrder="0" shrinkToFit="0" vertical="bottom" wrapText="1"/>
    </xf>
    <xf borderId="14" fillId="11" fontId="1" numFmtId="0" xfId="0" applyAlignment="1" applyBorder="1" applyFill="1" applyFont="1">
      <alignment shrinkToFit="0" vertical="bottom" wrapText="1"/>
    </xf>
    <xf borderId="15" fillId="0" fontId="6" numFmtId="0" xfId="0" applyBorder="1" applyFont="1"/>
    <xf borderId="16" fillId="0" fontId="6" numFmtId="0" xfId="0" applyBorder="1" applyFont="1"/>
    <xf borderId="5" fillId="14" fontId="1" numFmtId="0" xfId="0" applyAlignment="1" applyBorder="1" applyFill="1" applyFont="1">
      <alignment readingOrder="0" shrinkToFit="0" vertical="bottom" wrapText="1"/>
    </xf>
    <xf borderId="5" fillId="5" fontId="1" numFmtId="0" xfId="0" applyAlignment="1" applyBorder="1" applyFill="1" applyFont="1">
      <alignment shrinkToFit="0" vertical="bottom" wrapText="1"/>
    </xf>
    <xf borderId="6" fillId="0" fontId="1" numFmtId="0" xfId="0" applyAlignment="1" applyBorder="1" applyFont="1">
      <alignment vertical="bottom"/>
    </xf>
    <xf borderId="6" fillId="15" fontId="21" numFmtId="0" xfId="0" applyAlignment="1" applyBorder="1" applyFill="1" applyFont="1">
      <alignment horizontal="center" shrinkToFit="0" vertical="bottom" wrapText="1"/>
    </xf>
    <xf borderId="0" fillId="0" fontId="22" numFmtId="0" xfId="0" applyAlignment="1" applyFont="1">
      <alignment shrinkToFit="0" wrapText="1"/>
    </xf>
    <xf borderId="6" fillId="10" fontId="1" numFmtId="0" xfId="0" applyAlignment="1" applyBorder="1" applyFill="1" applyFont="1">
      <alignment readingOrder="0" shrinkToFit="0" vertical="bottom" wrapText="1"/>
    </xf>
    <xf borderId="6" fillId="0" fontId="1" numFmtId="0" xfId="0" applyAlignment="1" applyBorder="1" applyFont="1">
      <alignment shrinkToFit="0" vertical="bottom" wrapText="1"/>
    </xf>
    <xf borderId="5" fillId="0" fontId="17" numFmtId="0" xfId="0" applyBorder="1" applyFont="1"/>
    <xf borderId="6" fillId="0" fontId="1" numFmtId="0" xfId="0" applyAlignment="1" applyBorder="1" applyFont="1">
      <alignment shrinkToFit="0" wrapText="1"/>
    </xf>
    <xf borderId="5" fillId="0" fontId="1" numFmtId="0" xfId="0" applyAlignment="1" applyBorder="1" applyFont="1">
      <alignment shrinkToFit="0" wrapText="1"/>
    </xf>
    <xf borderId="6" fillId="0" fontId="1" numFmtId="0" xfId="0" applyAlignment="1" applyBorder="1" applyFont="1">
      <alignment shrinkToFit="0" vertical="bottom" wrapText="1"/>
    </xf>
    <xf borderId="5" fillId="9" fontId="1" numFmtId="0" xfId="0" applyAlignment="1" applyBorder="1" applyFill="1" applyFont="1">
      <alignment shrinkToFit="0" vertical="bottom" wrapText="1"/>
    </xf>
    <xf borderId="6" fillId="10" fontId="1" numFmtId="0" xfId="0" applyAlignment="1" applyBorder="1" applyFill="1" applyFont="1">
      <alignment shrinkToFit="0" vertical="bottom" wrapText="1"/>
    </xf>
    <xf borderId="5" fillId="12" fontId="1" numFmtId="0" xfId="0" applyAlignment="1" applyBorder="1" applyFill="1" applyFont="1">
      <alignment shrinkToFit="0" vertical="bottom" wrapText="1"/>
    </xf>
    <xf borderId="6" fillId="13" fontId="1" numFmtId="0" xfId="0" applyAlignment="1" applyBorder="1" applyFill="1" applyFont="1">
      <alignment shrinkToFit="0" vertical="bottom" wrapText="1"/>
    </xf>
    <xf borderId="5" fillId="14" fontId="1" numFmtId="0" xfId="0" applyAlignment="1" applyBorder="1" applyFill="1" applyFont="1">
      <alignment shrinkToFit="0" vertical="bottom" wrapText="1"/>
    </xf>
    <xf borderId="6" fillId="15" fontId="21" numFmtId="0" xfId="0" applyAlignment="1" applyBorder="1" applyFill="1" applyFont="1">
      <alignment horizontal="center" readingOrder="0" shrinkToFit="0" vertical="bottom" wrapText="1"/>
    </xf>
    <xf borderId="0" fillId="0" fontId="23" numFmtId="0" xfId="0" applyAlignment="1" applyFont="1">
      <alignment readingOrder="0" vertical="bottom"/>
    </xf>
    <xf borderId="6" fillId="3" fontId="1" numFmtId="0" xfId="0" applyAlignment="1" applyBorder="1" applyFill="1" applyFont="1">
      <alignment vertical="bottom"/>
    </xf>
    <xf borderId="17" fillId="0" fontId="1" numFmtId="0" xfId="0" applyAlignment="1" applyBorder="1" applyFont="1">
      <alignment vertical="bottom"/>
    </xf>
    <xf borderId="18" fillId="0" fontId="6" numFmtId="0" xfId="0" applyBorder="1" applyFont="1"/>
    <xf borderId="19" fillId="0" fontId="6" numFmtId="0" xfId="0" applyBorder="1" applyFont="1"/>
    <xf borderId="20" fillId="0" fontId="6" numFmtId="0" xfId="0" applyBorder="1" applyFont="1"/>
    <xf borderId="21" fillId="0" fontId="6" numFmtId="0" xfId="0" applyBorder="1" applyFont="1"/>
    <xf borderId="22" fillId="0" fontId="6" numFmtId="0" xfId="0" applyBorder="1" applyFont="1"/>
    <xf borderId="0" fillId="9" fontId="24" numFmtId="0" xfId="0" applyAlignment="1" applyFill="1" applyFont="1">
      <alignment readingOrder="0" vertical="bottom"/>
    </xf>
    <xf borderId="0" fillId="9" fontId="3" numFmtId="0" xfId="0" applyAlignment="1" applyFill="1" applyFont="1">
      <alignment readingOrder="0" vertical="bottom"/>
    </xf>
    <xf borderId="0" fillId="9" fontId="1" numFmtId="0" xfId="0" applyAlignment="1" applyFill="1" applyFont="1">
      <alignment readingOrder="0" vertical="bottom"/>
    </xf>
    <xf borderId="0" fillId="9" fontId="1" numFmtId="0" xfId="0" applyAlignment="1" applyFill="1" applyFont="1">
      <alignment vertical="bottom"/>
    </xf>
    <xf borderId="0" fillId="9" fontId="17" numFmtId="0" xfId="0" applyFill="1" applyFont="1"/>
    <xf borderId="6" fillId="15" fontId="1" numFmtId="0" xfId="0" applyAlignment="1" applyBorder="1" applyFill="1" applyFont="1">
      <alignment horizontal="center"/>
    </xf>
    <xf borderId="6" fillId="0" fontId="1" numFmtId="0" xfId="0" applyAlignment="1" applyBorder="1" applyFont="1">
      <alignment horizontal="center"/>
    </xf>
    <xf borderId="0" fillId="0" fontId="22" numFmtId="0" xfId="0" applyFont="1"/>
    <xf borderId="0" fillId="16" fontId="25" numFmtId="0" xfId="0" applyAlignment="1" applyFill="1" applyFont="1">
      <alignment readingOrder="0"/>
    </xf>
    <xf borderId="6" fillId="7" fontId="1" numFmtId="0" xfId="0" applyBorder="1" applyFill="1" applyFont="1"/>
    <xf borderId="17" fillId="0" fontId="1" numFmtId="0" xfId="0" applyAlignment="1" applyBorder="1" applyFont="1">
      <alignment shrinkToFit="0" wrapText="1"/>
    </xf>
    <xf borderId="17" fillId="0" fontId="1" numFmtId="0" xfId="0" applyAlignment="1" applyBorder="1" applyFont="1">
      <alignment readingOrder="0"/>
    </xf>
    <xf borderId="17" fillId="0" fontId="1" numFmtId="0" xfId="0" applyAlignment="1" applyBorder="1" applyFont="1">
      <alignment shrinkToFit="0" vertical="bottom" wrapText="1"/>
    </xf>
    <xf borderId="0" fillId="0" fontId="15" numFmtId="0" xfId="0" applyFont="1"/>
    <xf borderId="5" fillId="17" fontId="1" numFmtId="0" xfId="0" applyBorder="1" applyFill="1" applyFont="1"/>
    <xf borderId="6" fillId="17" fontId="1" numFmtId="0" xfId="0" applyBorder="1" applyFill="1" applyFont="1"/>
    <xf borderId="5" fillId="0" fontId="1" numFmtId="0" xfId="0" applyAlignment="1" applyBorder="1" applyFont="1">
      <alignment horizontal="right" vertical="bottom"/>
    </xf>
    <xf borderId="17" fillId="0" fontId="1" numFmtId="0" xfId="0" applyAlignment="1" applyBorder="1" applyFont="1">
      <alignment shrinkToFit="0" vertical="top" wrapText="1"/>
    </xf>
    <xf borderId="6" fillId="0" fontId="1" numFmtId="164" xfId="0" applyAlignment="1" applyBorder="1" applyFont="1" applyNumberFormat="1">
      <alignment vertical="bottom"/>
    </xf>
    <xf borderId="5" fillId="18" fontId="1" numFmtId="0" xfId="0" applyAlignment="1" applyBorder="1" applyFill="1" applyFont="1">
      <alignment shrinkToFit="0" wrapText="1"/>
    </xf>
    <xf borderId="0" fillId="16" fontId="25" numFmtId="0" xfId="0" applyFill="1" applyFont="1"/>
    <xf borderId="6" fillId="18" fontId="1" numFmtId="0" xfId="0" applyBorder="1" applyFill="1" applyFont="1"/>
    <xf borderId="5" fillId="11" fontId="1" numFmtId="0" xfId="0" applyBorder="1" applyFill="1" applyFont="1"/>
    <xf borderId="6" fillId="0" fontId="26" numFmtId="0" xfId="0" applyBorder="1" applyFont="1"/>
    <xf borderId="0" fillId="0" fontId="26" numFmtId="0" xfId="0" applyFont="1"/>
    <xf borderId="17" fillId="0" fontId="1" numFmtId="0" xfId="0" applyBorder="1" applyFont="1"/>
    <xf borderId="23" fillId="0" fontId="6" numFmtId="0" xfId="0" applyBorder="1" applyFont="1"/>
    <xf borderId="24" fillId="0" fontId="6" numFmtId="0" xfId="0" applyBorder="1" applyFont="1"/>
    <xf borderId="0" fillId="0" fontId="27" numFmtId="0" xfId="0" applyFont="1"/>
    <xf borderId="6" fillId="0" fontId="26" numFmtId="0" xfId="0" applyAlignment="1" applyBorder="1" applyFont="1">
      <alignment readingOrder="0"/>
    </xf>
    <xf borderId="17" fillId="0" fontId="1" numFmtId="0" xfId="0" applyAlignment="1" applyBorder="1" applyFont="1">
      <alignment vertical="top"/>
    </xf>
    <xf borderId="6" fillId="0" fontId="17" numFmtId="0" xfId="0" applyBorder="1" applyFont="1"/>
    <xf borderId="8" fillId="0" fontId="1" numFmtId="0" xfId="0" applyBorder="1" applyFont="1"/>
    <xf borderId="7" fillId="0" fontId="1" numFmtId="0" xfId="0" applyBorder="1" applyFont="1"/>
    <xf borderId="6" fillId="0" fontId="1" numFmtId="0" xfId="0" applyAlignment="1" applyBorder="1" applyFont="1">
      <alignment readingOrder="0" shrinkToFit="0" wrapText="1"/>
    </xf>
    <xf borderId="6" fillId="0" fontId="1" numFmtId="0" xfId="0" applyAlignment="1" applyBorder="1" applyFont="1">
      <alignment vertical="bottom"/>
    </xf>
    <xf borderId="0" fillId="0" fontId="2" numFmtId="0" xfId="0" applyAlignment="1" applyFont="1">
      <alignment horizontal="center"/>
    </xf>
    <xf borderId="0" fillId="9" fontId="28" numFmtId="0" xfId="0" applyAlignment="1" applyFill="1" applyFont="1">
      <alignment readingOrder="0"/>
    </xf>
    <xf borderId="6" fillId="9" fontId="1" numFmtId="0" xfId="0" applyAlignment="1" applyBorder="1" applyFill="1" applyFont="1">
      <alignment readingOrder="0" shrinkToFit="0" wrapText="1"/>
    </xf>
    <xf borderId="0" fillId="0" fontId="17" numFmtId="0" xfId="0" applyAlignment="1" applyFont="1">
      <alignment readingOrder="0"/>
    </xf>
    <xf borderId="17" fillId="9" fontId="1" numFmtId="0" xfId="0" applyAlignment="1" applyBorder="1" applyFill="1" applyFont="1">
      <alignment readingOrder="0"/>
    </xf>
    <xf borderId="0" fillId="9" fontId="17" numFmtId="0" xfId="0" applyAlignment="1" applyFill="1" applyFont="1">
      <alignment readingOrder="0"/>
    </xf>
    <xf borderId="0" fillId="9" fontId="18" numFmtId="0" xfId="0" applyAlignment="1" applyFill="1" applyFont="1">
      <alignment readingOrder="0"/>
    </xf>
    <xf borderId="17" fillId="0" fontId="29" numFmtId="0" xfId="0" applyAlignment="1" applyBorder="1" applyFont="1">
      <alignment readingOrder="0"/>
    </xf>
    <xf borderId="0" fillId="0" fontId="25" numFmtId="0" xfId="0" applyFont="1"/>
    <xf borderId="6" fillId="9" fontId="1" numFmtId="0" xfId="0" applyAlignment="1" applyBorder="1" applyFill="1" applyFont="1">
      <alignment readingOrder="0"/>
    </xf>
    <xf borderId="18" fillId="0" fontId="1" numFmtId="0" xfId="0" applyBorder="1" applyFont="1"/>
    <xf borderId="19" fillId="0" fontId="1" numFmtId="0" xfId="0" applyBorder="1" applyFont="1"/>
    <xf borderId="23" fillId="0" fontId="1" numFmtId="0" xfId="0" applyBorder="1" applyFont="1"/>
    <xf borderId="24" fillId="0" fontId="1" numFmtId="0" xfId="0" applyBorder="1" applyFont="1"/>
    <xf borderId="20" fillId="0" fontId="1" numFmtId="0" xfId="0" applyBorder="1" applyFont="1"/>
    <xf borderId="21" fillId="0" fontId="1" numFmtId="0" xfId="0" applyBorder="1" applyFont="1"/>
    <xf borderId="22" fillId="0" fontId="1" numFmtId="0" xfId="0" applyBorder="1"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942975</xdr:colOff>
      <xdr:row>9</xdr:row>
      <xdr:rowOff>161925</xdr:rowOff>
    </xdr:from>
    <xdr:ext cx="7058025" cy="335280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19050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161925</xdr:colOff>
      <xdr:row>10</xdr:row>
      <xdr:rowOff>238125</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238125</xdr:colOff>
      <xdr:row>19</xdr:row>
      <xdr:rowOff>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238125</xdr:colOff>
      <xdr:row>26</xdr:row>
      <xdr:rowOff>285750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161925</xdr:colOff>
      <xdr:row>32</xdr:row>
      <xdr:rowOff>114300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0</xdr:col>
      <xdr:colOff>381000</xdr:colOff>
      <xdr:row>0</xdr:row>
      <xdr:rowOff>85725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n5es0M20vXxa7i4eLN7pbgTXc2C1dmCQ/view?usp=sharing" TargetMode="External"/><Relationship Id="rId2" Type="http://schemas.openxmlformats.org/officeDocument/2006/relationships/hyperlink" Target="https://youtu.be/C8Q9dKo4t-w?si=yErgF_ihe1tsaHM0"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2" max="2" width="11.25"/>
    <col customWidth="1" min="3" max="3" width="13.13"/>
    <col customWidth="1" min="4" max="4" width="17.0"/>
    <col customWidth="1" min="5" max="5" width="44.63"/>
    <col customWidth="1" min="6" max="6" width="3.13"/>
    <col customWidth="1" min="7" max="7" width="37.13"/>
    <col customWidth="1" min="8" max="8" width="21.75"/>
    <col customWidth="1" min="10" max="10" width="16.75"/>
  </cols>
  <sheetData>
    <row r="1">
      <c r="A1" s="11"/>
      <c r="B1" s="15" t="s">
        <v>12</v>
      </c>
      <c r="Q1" s="11"/>
      <c r="R1" s="11"/>
      <c r="S1" s="11"/>
      <c r="T1" s="11"/>
      <c r="U1" s="11"/>
      <c r="V1" s="11"/>
      <c r="W1" s="11"/>
      <c r="X1" s="11"/>
      <c r="Y1" s="11"/>
      <c r="Z1" s="11"/>
    </row>
    <row r="2">
      <c r="A2" s="11"/>
      <c r="B2" s="3" t="s">
        <v>1</v>
      </c>
      <c r="C2" s="4" t="s">
        <v>2</v>
      </c>
      <c r="I2" s="11"/>
      <c r="J2" s="11"/>
      <c r="K2" s="11"/>
      <c r="L2" s="11"/>
      <c r="M2" s="11"/>
      <c r="N2" s="11"/>
      <c r="O2" s="11"/>
      <c r="P2" s="11"/>
      <c r="Q2" s="11"/>
      <c r="R2" s="11"/>
      <c r="S2" s="11"/>
      <c r="T2" s="11"/>
      <c r="U2" s="11"/>
      <c r="V2" s="11"/>
      <c r="W2" s="11"/>
      <c r="X2" s="11"/>
      <c r="Y2" s="11"/>
      <c r="Z2" s="11"/>
    </row>
    <row r="3">
      <c r="A3" s="11"/>
      <c r="B3" s="3" t="s">
        <v>3</v>
      </c>
      <c r="C3" s="6" t="s">
        <v>4</v>
      </c>
      <c r="I3" s="11"/>
      <c r="J3" s="11"/>
      <c r="K3" s="11"/>
      <c r="L3" s="11"/>
      <c r="M3" s="11"/>
      <c r="N3" s="11"/>
      <c r="O3" s="11"/>
      <c r="P3" s="11"/>
      <c r="Q3" s="11"/>
      <c r="R3" s="11"/>
      <c r="S3" s="11"/>
      <c r="T3" s="11"/>
      <c r="U3" s="11"/>
      <c r="V3" s="11"/>
      <c r="W3" s="11"/>
      <c r="X3" s="11"/>
      <c r="Y3" s="11"/>
      <c r="Z3" s="11"/>
    </row>
    <row r="4">
      <c r="A4" s="11"/>
      <c r="B4" s="11"/>
      <c r="C4" s="11"/>
      <c r="D4" s="11"/>
      <c r="E4" s="11"/>
      <c r="F4" s="11"/>
      <c r="G4" s="11"/>
      <c r="H4" s="11"/>
      <c r="I4" s="11"/>
      <c r="J4" s="11"/>
      <c r="K4" s="11"/>
      <c r="L4" s="11"/>
      <c r="M4" s="11"/>
      <c r="N4" s="11"/>
      <c r="O4" s="11"/>
      <c r="P4" s="11"/>
      <c r="Q4" s="11"/>
      <c r="R4" s="11"/>
      <c r="S4" s="11"/>
      <c r="T4" s="11"/>
      <c r="U4" s="11"/>
      <c r="V4" s="11"/>
      <c r="W4" s="11"/>
      <c r="X4" s="11"/>
      <c r="Y4" s="11"/>
      <c r="Z4" s="11"/>
    </row>
    <row r="5">
      <c r="A5" s="11"/>
      <c r="B5" s="23" t="s">
        <v>18</v>
      </c>
      <c r="C5" s="24"/>
      <c r="D5" s="24"/>
      <c r="E5" s="24"/>
      <c r="F5" s="24"/>
      <c r="G5" s="29"/>
      <c r="H5" s="11"/>
      <c r="I5" s="23" t="s">
        <v>25</v>
      </c>
      <c r="J5" s="24"/>
      <c r="K5" s="24"/>
      <c r="L5" s="24"/>
      <c r="M5" s="24"/>
      <c r="N5" s="24"/>
      <c r="O5" s="24"/>
      <c r="P5" s="29"/>
      <c r="Q5" s="11"/>
      <c r="R5" s="11"/>
      <c r="S5" s="11"/>
      <c r="T5" s="11"/>
      <c r="U5" s="11"/>
      <c r="V5" s="11"/>
      <c r="W5" s="11"/>
      <c r="X5" s="11"/>
      <c r="Y5" s="11"/>
      <c r="Z5" s="11"/>
    </row>
    <row r="6" ht="33.0" customHeight="1">
      <c r="A6" s="11"/>
      <c r="B6" s="33">
        <v>1.0</v>
      </c>
      <c r="C6" s="36" t="s">
        <v>31</v>
      </c>
      <c r="D6" s="24"/>
      <c r="E6" s="24"/>
      <c r="F6" s="24"/>
      <c r="G6" s="29"/>
      <c r="H6" s="42"/>
      <c r="I6" s="33">
        <v>1.0</v>
      </c>
      <c r="J6" s="36" t="s">
        <v>39</v>
      </c>
      <c r="K6" s="24"/>
      <c r="L6" s="24"/>
      <c r="M6" s="24"/>
      <c r="N6" s="24"/>
      <c r="O6" s="24"/>
      <c r="P6" s="29"/>
      <c r="Q6" s="11"/>
      <c r="R6" s="11"/>
      <c r="S6" s="11"/>
      <c r="T6" s="11"/>
      <c r="U6" s="11"/>
      <c r="V6" s="11"/>
      <c r="W6" s="11"/>
      <c r="X6" s="11"/>
      <c r="Y6" s="11"/>
      <c r="Z6" s="11"/>
    </row>
    <row r="7" ht="41.25" customHeight="1">
      <c r="A7" s="11"/>
      <c r="B7" s="48">
        <v>2.0</v>
      </c>
      <c r="C7" s="36" t="s">
        <v>44</v>
      </c>
      <c r="D7" s="24"/>
      <c r="E7" s="24"/>
      <c r="F7" s="24"/>
      <c r="G7" s="29"/>
      <c r="H7" s="11"/>
      <c r="I7" s="50">
        <v>2.0</v>
      </c>
      <c r="J7" s="36" t="s">
        <v>45</v>
      </c>
      <c r="K7" s="24"/>
      <c r="L7" s="24"/>
      <c r="M7" s="24"/>
      <c r="N7" s="24"/>
      <c r="O7" s="24"/>
      <c r="P7" s="29"/>
      <c r="Q7" s="11"/>
      <c r="R7" s="11"/>
      <c r="S7" s="11"/>
      <c r="T7" s="11"/>
      <c r="U7" s="11"/>
      <c r="V7" s="11"/>
      <c r="W7" s="11"/>
      <c r="X7" s="11"/>
      <c r="Y7" s="11"/>
      <c r="Z7" s="11"/>
    </row>
    <row r="8" ht="33.0" customHeight="1">
      <c r="A8" s="11"/>
      <c r="B8" s="48">
        <v>3.0</v>
      </c>
      <c r="C8" s="36" t="s">
        <v>46</v>
      </c>
      <c r="D8" s="24"/>
      <c r="E8" s="24"/>
      <c r="F8" s="24"/>
      <c r="G8" s="29"/>
      <c r="H8" s="11"/>
      <c r="I8" s="50">
        <v>3.0</v>
      </c>
      <c r="J8" s="36" t="s">
        <v>47</v>
      </c>
      <c r="K8" s="24"/>
      <c r="L8" s="24"/>
      <c r="M8" s="24"/>
      <c r="N8" s="24"/>
      <c r="O8" s="24"/>
      <c r="P8" s="29"/>
      <c r="Q8" s="11"/>
      <c r="R8" s="11"/>
      <c r="S8" s="11"/>
      <c r="T8" s="11"/>
      <c r="U8" s="11"/>
      <c r="V8" s="11"/>
      <c r="W8" s="11"/>
      <c r="X8" s="11"/>
      <c r="Y8" s="11"/>
      <c r="Z8" s="11"/>
    </row>
    <row r="9">
      <c r="A9" s="11"/>
      <c r="B9" s="11"/>
      <c r="C9" s="11"/>
      <c r="D9" s="11"/>
      <c r="E9" s="11"/>
      <c r="F9" s="11"/>
      <c r="G9" s="11"/>
      <c r="H9" s="11"/>
      <c r="I9" s="11"/>
      <c r="J9" s="11"/>
      <c r="K9" s="11"/>
      <c r="L9" s="11"/>
      <c r="M9" s="11"/>
      <c r="N9" s="11"/>
      <c r="O9" s="11"/>
      <c r="P9" s="11"/>
      <c r="Q9" s="11"/>
      <c r="R9" s="11"/>
      <c r="S9" s="11"/>
      <c r="T9" s="11"/>
      <c r="U9" s="11"/>
      <c r="V9" s="11"/>
      <c r="W9" s="11"/>
      <c r="X9" s="11"/>
      <c r="Y9" s="11"/>
      <c r="Z9" s="11"/>
    </row>
    <row r="10">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row>
    <row r="11">
      <c r="A11" s="11"/>
      <c r="B11" s="54" t="s">
        <v>49</v>
      </c>
      <c r="C11" s="54" t="s">
        <v>56</v>
      </c>
      <c r="D11" s="54" t="s">
        <v>57</v>
      </c>
      <c r="E11" s="57" t="s">
        <v>58</v>
      </c>
      <c r="F11" s="29"/>
      <c r="G11" s="54" t="s">
        <v>63</v>
      </c>
      <c r="H11" s="57" t="s">
        <v>65</v>
      </c>
      <c r="I11" s="29"/>
      <c r="J11" s="54" t="s">
        <v>67</v>
      </c>
      <c r="K11" s="11"/>
      <c r="L11" s="11"/>
      <c r="M11" s="11"/>
      <c r="N11" s="11"/>
      <c r="O11" s="11"/>
      <c r="P11" s="11"/>
      <c r="Q11" s="11"/>
      <c r="R11" s="11"/>
      <c r="S11" s="11"/>
      <c r="T11" s="11"/>
      <c r="U11" s="11"/>
      <c r="V11" s="11"/>
      <c r="W11" s="11"/>
      <c r="X11" s="11"/>
      <c r="Y11" s="11"/>
      <c r="Z11" s="11"/>
    </row>
    <row r="12">
      <c r="A12" s="11"/>
      <c r="B12" s="61">
        <v>1.0</v>
      </c>
      <c r="C12" s="64" t="s">
        <v>83</v>
      </c>
      <c r="D12" s="67" t="s">
        <v>85</v>
      </c>
      <c r="E12" s="70" t="s">
        <v>90</v>
      </c>
      <c r="F12" s="73"/>
      <c r="G12" s="74" t="s">
        <v>112</v>
      </c>
      <c r="H12" s="76" t="s">
        <v>116</v>
      </c>
      <c r="I12" s="29"/>
      <c r="J12" s="80" t="s">
        <v>125</v>
      </c>
      <c r="K12" s="11"/>
      <c r="L12" s="11"/>
      <c r="M12" s="11"/>
      <c r="N12" s="11"/>
      <c r="O12" s="11"/>
      <c r="P12" s="11"/>
      <c r="Q12" s="11"/>
      <c r="R12" s="11"/>
      <c r="S12" s="11"/>
      <c r="T12" s="11"/>
      <c r="U12" s="11"/>
      <c r="V12" s="11"/>
      <c r="W12" s="11"/>
      <c r="X12" s="11"/>
      <c r="Y12" s="11"/>
      <c r="Z12" s="11"/>
    </row>
    <row r="13">
      <c r="A13" s="11"/>
      <c r="B13" s="81"/>
      <c r="C13" s="83" t="str">
        <f>D12 &amp; " " &amp; E12 &amp; " " &amp;G12&amp; " " &amp;H12&amp; " " </f>
        <v>Analiza la evolución y clasificación de los lenguajes formales y de programación mediante la comparación de características, estructuras y paradigmas para comprender su organización y funcionamiento </v>
      </c>
      <c r="D13" s="24"/>
      <c r="E13" s="24"/>
      <c r="F13" s="24"/>
      <c r="G13" s="24"/>
      <c r="H13" s="24"/>
      <c r="I13" s="24"/>
      <c r="J13" s="29"/>
      <c r="K13" s="11"/>
      <c r="L13" s="11"/>
      <c r="M13" s="11"/>
      <c r="N13" s="11"/>
      <c r="O13" s="11"/>
      <c r="P13" s="11"/>
      <c r="Q13" s="11"/>
      <c r="R13" s="11"/>
      <c r="S13" s="11"/>
      <c r="T13" s="11"/>
      <c r="U13" s="11"/>
      <c r="V13" s="11"/>
      <c r="W13" s="11"/>
      <c r="X13" s="11"/>
      <c r="Y13" s="11"/>
      <c r="Z13" s="11"/>
    </row>
    <row r="14">
      <c r="A14" s="11"/>
      <c r="B14" s="61">
        <v>2.0</v>
      </c>
      <c r="C14" s="25" t="s">
        <v>163</v>
      </c>
      <c r="D14" s="67" t="s">
        <v>164</v>
      </c>
      <c r="E14" s="85" t="s">
        <v>167</v>
      </c>
      <c r="F14" s="29"/>
      <c r="G14" s="74" t="s">
        <v>181</v>
      </c>
      <c r="H14" s="76" t="s">
        <v>182</v>
      </c>
      <c r="I14" s="29"/>
      <c r="J14" s="80" t="s">
        <v>185</v>
      </c>
      <c r="K14" s="11"/>
      <c r="L14" s="11"/>
      <c r="M14" s="11"/>
      <c r="N14" s="11"/>
      <c r="O14" s="11"/>
      <c r="P14" s="11"/>
      <c r="Q14" s="11"/>
      <c r="R14" s="11"/>
      <c r="S14" s="11"/>
      <c r="T14" s="11"/>
      <c r="U14" s="11"/>
      <c r="V14" s="11"/>
      <c r="W14" s="11"/>
      <c r="X14" s="11"/>
      <c r="Y14" s="11"/>
      <c r="Z14" s="11"/>
    </row>
    <row r="15">
      <c r="A15" s="11"/>
      <c r="B15" s="81"/>
      <c r="C15" s="83" t="str">
        <f>D14 &amp; " " &amp; E14 &amp; " " &amp;G14&amp; " " &amp;H14&amp; " " </f>
        <v>Crea gramáticas libres de contexto mediante el análisis sintáctico con herramientas para reconocer y validar lenguajes formales </v>
      </c>
      <c r="D15" s="24"/>
      <c r="E15" s="24"/>
      <c r="F15" s="24"/>
      <c r="G15" s="24"/>
      <c r="H15" s="24"/>
      <c r="I15" s="24"/>
      <c r="J15" s="29"/>
      <c r="K15" s="11"/>
      <c r="L15" s="11"/>
      <c r="M15" s="11"/>
      <c r="N15" s="11"/>
      <c r="O15" s="11"/>
      <c r="P15" s="11"/>
      <c r="Q15" s="11"/>
      <c r="R15" s="11"/>
      <c r="S15" s="11"/>
      <c r="T15" s="11"/>
      <c r="U15" s="11"/>
      <c r="V15" s="11"/>
      <c r="W15" s="11"/>
      <c r="X15" s="11"/>
      <c r="Y15" s="11"/>
      <c r="Z15" s="11"/>
    </row>
    <row r="16" ht="24.75" customHeight="1">
      <c r="A16" s="11"/>
      <c r="B16" s="61">
        <v>3.0</v>
      </c>
      <c r="C16" s="25" t="s">
        <v>163</v>
      </c>
      <c r="D16" s="67" t="s">
        <v>197</v>
      </c>
      <c r="E16" s="85" t="s">
        <v>198</v>
      </c>
      <c r="F16" s="29"/>
      <c r="G16" s="74" t="s">
        <v>199</v>
      </c>
      <c r="H16" s="76" t="s">
        <v>200</v>
      </c>
      <c r="I16" s="29"/>
      <c r="J16" s="80" t="s">
        <v>185</v>
      </c>
      <c r="K16" s="11"/>
      <c r="L16" s="11"/>
      <c r="M16" s="11"/>
      <c r="N16" s="11"/>
      <c r="O16" s="11"/>
      <c r="P16" s="11"/>
      <c r="Q16" s="11"/>
      <c r="R16" s="11"/>
      <c r="S16" s="11"/>
      <c r="T16" s="11"/>
      <c r="U16" s="11"/>
      <c r="V16" s="11"/>
      <c r="W16" s="11"/>
      <c r="X16" s="11"/>
      <c r="Y16" s="11"/>
      <c r="Z16" s="11"/>
    </row>
    <row r="17" ht="21.75" customHeight="1">
      <c r="A17" s="11"/>
      <c r="B17" s="81"/>
      <c r="C17" s="83" t="str">
        <f>D16 &amp; " " &amp; E16 &amp; " " &amp;G16&amp; " " &amp;H16&amp; " " </f>
        <v>Implementa analizadores léxicos utilizando herramientas y conocimientos de AFD para definir cada estado del autómata y reconocer tokens </v>
      </c>
      <c r="D17" s="24"/>
      <c r="E17" s="24"/>
      <c r="F17" s="24"/>
      <c r="G17" s="24"/>
      <c r="H17" s="24"/>
      <c r="I17" s="24"/>
      <c r="J17" s="29"/>
      <c r="K17" s="11"/>
      <c r="L17" s="11"/>
      <c r="M17" s="11"/>
      <c r="N17" s="11"/>
      <c r="O17" s="11"/>
      <c r="P17" s="11"/>
      <c r="Q17" s="11"/>
      <c r="R17" s="11"/>
      <c r="S17" s="11"/>
      <c r="T17" s="11"/>
      <c r="U17" s="11"/>
      <c r="V17" s="11"/>
      <c r="W17" s="11"/>
      <c r="X17" s="11"/>
      <c r="Y17" s="11"/>
      <c r="Z17" s="11"/>
    </row>
    <row r="18" ht="20.25" customHeight="1">
      <c r="A18" s="11"/>
      <c r="B18" s="61">
        <v>4.0</v>
      </c>
      <c r="C18" s="25" t="s">
        <v>163</v>
      </c>
      <c r="D18" s="67" t="s">
        <v>206</v>
      </c>
      <c r="E18" s="85" t="s">
        <v>207</v>
      </c>
      <c r="F18" s="29"/>
      <c r="G18" s="74" t="s">
        <v>208</v>
      </c>
      <c r="H18" s="76" t="s">
        <v>209</v>
      </c>
      <c r="I18" s="29"/>
      <c r="J18" s="80" t="s">
        <v>185</v>
      </c>
      <c r="K18" s="11"/>
      <c r="L18" s="11"/>
      <c r="M18" s="11"/>
      <c r="N18" s="11"/>
      <c r="O18" s="11"/>
      <c r="P18" s="11"/>
      <c r="Q18" s="11"/>
      <c r="R18" s="11"/>
      <c r="S18" s="11"/>
      <c r="T18" s="11"/>
      <c r="U18" s="11"/>
      <c r="V18" s="11"/>
      <c r="W18" s="11"/>
      <c r="X18" s="11"/>
      <c r="Y18" s="11"/>
      <c r="Z18" s="11"/>
    </row>
    <row r="19" ht="21.0" customHeight="1">
      <c r="A19" s="11"/>
      <c r="B19" s="81"/>
      <c r="C19" s="83" t="str">
        <f>D18 &amp; " " &amp; E18 &amp; " " &amp;G18&amp; " " &amp;H18&amp; " " </f>
        <v>Construir analizadores sintacticos utilizando conocimientos de Gramáticas Libres del Contexto, POO, recursividad y programación imperativa para definir cada regla sintáctica </v>
      </c>
      <c r="D19" s="24"/>
      <c r="E19" s="24"/>
      <c r="F19" s="24"/>
      <c r="G19" s="24"/>
      <c r="H19" s="24"/>
      <c r="I19" s="24"/>
      <c r="J19" s="29"/>
      <c r="K19" s="11"/>
      <c r="L19" s="11"/>
      <c r="M19" s="11"/>
      <c r="N19" s="11"/>
      <c r="O19" s="11"/>
      <c r="P19" s="11"/>
      <c r="Q19" s="11"/>
      <c r="R19" s="11"/>
      <c r="S19" s="11"/>
      <c r="T19" s="11"/>
      <c r="U19" s="11"/>
      <c r="V19" s="11"/>
      <c r="W19" s="11"/>
      <c r="X19" s="11"/>
      <c r="Y19" s="11"/>
      <c r="Z19" s="11"/>
    </row>
    <row r="20">
      <c r="A20" s="11"/>
      <c r="B20" s="61">
        <v>5.0</v>
      </c>
      <c r="C20" s="25" t="s">
        <v>163</v>
      </c>
      <c r="D20" s="67" t="s">
        <v>210</v>
      </c>
      <c r="E20" s="85" t="s">
        <v>211</v>
      </c>
      <c r="F20" s="29"/>
      <c r="G20" s="74" t="s">
        <v>212</v>
      </c>
      <c r="H20" s="76" t="s">
        <v>213</v>
      </c>
      <c r="I20" s="29"/>
      <c r="J20" s="80" t="s">
        <v>214</v>
      </c>
      <c r="K20" s="11"/>
      <c r="L20" s="11"/>
      <c r="M20" s="11"/>
      <c r="N20" s="11"/>
      <c r="O20" s="11"/>
      <c r="P20" s="11"/>
      <c r="Q20" s="11"/>
      <c r="R20" s="11"/>
      <c r="S20" s="11"/>
      <c r="T20" s="11"/>
      <c r="U20" s="11"/>
      <c r="V20" s="11"/>
      <c r="W20" s="11"/>
      <c r="X20" s="11"/>
      <c r="Y20" s="11"/>
      <c r="Z20" s="11"/>
    </row>
    <row r="21">
      <c r="A21" s="11"/>
      <c r="B21" s="81"/>
      <c r="C21" s="83" t="str">
        <f>D20 &amp; " " &amp; E20 &amp; " " &amp;G20&amp; " " &amp;H20&amp; " " </f>
        <v>El estudiante aplica el análisis sintáctico  mediante el uso de gramáticas formales y técnicas de parsing (descendente o ascendente) para verificar la estructura gramatical y construir árboles sintácticos que permitan solucionar problemas relacionados con la interpretación de lenguajes formales. </v>
      </c>
      <c r="D21" s="24"/>
      <c r="E21" s="24"/>
      <c r="F21" s="24"/>
      <c r="G21" s="24"/>
      <c r="H21" s="24"/>
      <c r="I21" s="24"/>
      <c r="J21" s="29"/>
      <c r="K21" s="11"/>
      <c r="L21" s="11"/>
      <c r="M21" s="11"/>
      <c r="N21" s="11"/>
      <c r="O21" s="11"/>
      <c r="P21" s="11"/>
      <c r="Q21" s="11"/>
      <c r="R21" s="11"/>
      <c r="S21" s="11"/>
      <c r="T21" s="11"/>
      <c r="U21" s="11"/>
      <c r="V21" s="11"/>
      <c r="W21" s="11"/>
      <c r="X21" s="11"/>
      <c r="Y21" s="11"/>
      <c r="Z21" s="11"/>
    </row>
    <row r="22">
      <c r="A22" s="11"/>
      <c r="B22" s="61">
        <v>6.0</v>
      </c>
      <c r="C22" s="25" t="s">
        <v>163</v>
      </c>
      <c r="D22" s="91" t="s">
        <v>215</v>
      </c>
      <c r="E22" s="92" t="s">
        <v>216</v>
      </c>
      <c r="F22" s="29"/>
      <c r="G22" s="93" t="s">
        <v>217</v>
      </c>
      <c r="H22" s="94" t="s">
        <v>218</v>
      </c>
      <c r="I22" s="29"/>
      <c r="J22" s="95" t="s">
        <v>215</v>
      </c>
      <c r="K22" s="11"/>
      <c r="L22" s="11"/>
      <c r="M22" s="11"/>
      <c r="N22" s="11"/>
      <c r="O22" s="11"/>
      <c r="P22" s="11"/>
      <c r="Q22" s="11"/>
      <c r="R22" s="11"/>
      <c r="S22" s="11"/>
      <c r="T22" s="11"/>
      <c r="U22" s="11"/>
      <c r="V22" s="11"/>
      <c r="W22" s="11"/>
      <c r="X22" s="11"/>
      <c r="Y22" s="11"/>
      <c r="Z22" s="11"/>
    </row>
    <row r="23">
      <c r="A23" s="11"/>
      <c r="B23" s="81"/>
      <c r="C23" s="83" t="str">
        <f>D22 &amp; " " &amp; E22 &amp; " " &amp;G22&amp; " " &amp;H22&amp; " " </f>
        <v>Comprender el funcionamiento del lenguaje de programación a través de su aplicación para la resolución de problemas relacionados con las fases del compilador </v>
      </c>
      <c r="D23" s="24"/>
      <c r="E23" s="24"/>
      <c r="F23" s="24"/>
      <c r="G23" s="24"/>
      <c r="H23" s="24"/>
      <c r="I23" s="24"/>
      <c r="J23" s="29"/>
      <c r="K23" s="11"/>
      <c r="L23" s="11"/>
      <c r="M23" s="11"/>
      <c r="N23" s="11"/>
      <c r="O23" s="11"/>
      <c r="P23" s="11"/>
      <c r="Q23" s="11"/>
      <c r="R23" s="11"/>
      <c r="S23" s="11"/>
      <c r="T23" s="11"/>
      <c r="U23" s="11"/>
      <c r="V23" s="11"/>
      <c r="W23" s="11"/>
      <c r="X23" s="11"/>
      <c r="Y23" s="11"/>
      <c r="Z23" s="11"/>
    </row>
    <row r="24">
      <c r="A24" s="11"/>
      <c r="B24" s="61">
        <v>7.0</v>
      </c>
      <c r="C24" s="25" t="s">
        <v>163</v>
      </c>
      <c r="D24" s="67" t="s">
        <v>185</v>
      </c>
      <c r="E24" s="85" t="s">
        <v>219</v>
      </c>
      <c r="F24" s="29"/>
      <c r="G24" s="74" t="s">
        <v>220</v>
      </c>
      <c r="H24" s="76" t="s">
        <v>218</v>
      </c>
      <c r="I24" s="29"/>
      <c r="J24" s="80" t="s">
        <v>185</v>
      </c>
      <c r="K24" s="11"/>
      <c r="L24" s="11"/>
      <c r="M24" s="11"/>
      <c r="N24" s="11"/>
      <c r="O24" s="11"/>
      <c r="P24" s="11"/>
      <c r="Q24" s="11"/>
      <c r="R24" s="11"/>
      <c r="S24" s="11"/>
      <c r="T24" s="11"/>
      <c r="U24" s="11"/>
      <c r="V24" s="11"/>
      <c r="W24" s="11"/>
      <c r="X24" s="11"/>
      <c r="Y24" s="11"/>
      <c r="Z24" s="11"/>
    </row>
    <row r="25">
      <c r="A25" s="11"/>
      <c r="B25" s="81"/>
      <c r="C25" s="96" t="s">
        <v>221</v>
      </c>
      <c r="D25" s="24"/>
      <c r="E25" s="24"/>
      <c r="F25" s="24"/>
      <c r="G25" s="24"/>
      <c r="H25" s="24"/>
      <c r="I25" s="24"/>
      <c r="J25" s="29"/>
      <c r="K25" s="11"/>
      <c r="L25" s="97" t="s">
        <v>222</v>
      </c>
      <c r="M25" s="11"/>
      <c r="N25" s="11"/>
      <c r="O25" s="11"/>
      <c r="P25" s="11"/>
      <c r="Q25" s="11"/>
      <c r="R25" s="11"/>
      <c r="S25" s="11"/>
      <c r="T25" s="11"/>
      <c r="U25" s="11"/>
      <c r="V25" s="11"/>
      <c r="W25" s="11"/>
      <c r="X25" s="11"/>
      <c r="Y25" s="11"/>
      <c r="Z25" s="11"/>
    </row>
    <row r="26">
      <c r="A26" s="11"/>
      <c r="B26" s="11"/>
      <c r="C26" s="11"/>
      <c r="D26" s="11"/>
      <c r="E26" s="11"/>
      <c r="F26" s="11"/>
      <c r="G26" s="11"/>
      <c r="H26" s="11"/>
      <c r="I26" s="11"/>
      <c r="J26" s="11"/>
      <c r="K26" s="11"/>
      <c r="L26" s="97" t="s">
        <v>223</v>
      </c>
      <c r="M26" s="11"/>
      <c r="N26" s="11"/>
      <c r="O26" s="11"/>
      <c r="P26" s="11"/>
      <c r="Q26" s="11"/>
      <c r="R26" s="11"/>
      <c r="S26" s="11"/>
      <c r="T26" s="11"/>
      <c r="U26" s="11"/>
      <c r="V26" s="11"/>
      <c r="W26" s="11"/>
      <c r="X26" s="11"/>
      <c r="Y26" s="11"/>
      <c r="Z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c r="A28" s="11"/>
      <c r="B28" s="98" t="s">
        <v>224</v>
      </c>
      <c r="C28" s="24"/>
      <c r="D28" s="24"/>
      <c r="E28" s="24"/>
      <c r="F28" s="24"/>
      <c r="G28" s="24"/>
      <c r="H28" s="24"/>
      <c r="I28" s="24"/>
      <c r="J28" s="29"/>
      <c r="K28" s="11"/>
      <c r="L28" s="11"/>
      <c r="M28" s="11"/>
      <c r="N28" s="11"/>
      <c r="O28" s="11"/>
      <c r="P28" s="11"/>
      <c r="Q28" s="11"/>
      <c r="R28" s="11"/>
      <c r="S28" s="11"/>
      <c r="T28" s="11"/>
      <c r="U28" s="11"/>
      <c r="V28" s="11"/>
      <c r="W28" s="11"/>
      <c r="X28" s="11"/>
      <c r="Y28" s="11"/>
      <c r="Z28" s="11"/>
    </row>
    <row r="29">
      <c r="A29" s="11"/>
      <c r="B29" s="99"/>
      <c r="C29" s="100"/>
      <c r="D29" s="100"/>
      <c r="E29" s="100"/>
      <c r="F29" s="100"/>
      <c r="G29" s="100"/>
      <c r="H29" s="100"/>
      <c r="I29" s="100"/>
      <c r="J29" s="101"/>
      <c r="K29" s="11"/>
      <c r="L29" s="11"/>
      <c r="M29" s="11"/>
      <c r="N29" s="11"/>
      <c r="O29" s="11"/>
      <c r="P29" s="11"/>
      <c r="Q29" s="11"/>
      <c r="R29" s="11"/>
      <c r="S29" s="11"/>
      <c r="T29" s="11"/>
      <c r="U29" s="11"/>
      <c r="V29" s="11"/>
      <c r="W29" s="11"/>
      <c r="X29" s="11"/>
      <c r="Y29" s="11"/>
      <c r="Z29" s="11"/>
    </row>
    <row r="30">
      <c r="A30" s="11"/>
      <c r="B30" s="102"/>
      <c r="C30" s="103"/>
      <c r="D30" s="103"/>
      <c r="E30" s="103"/>
      <c r="F30" s="103"/>
      <c r="G30" s="103"/>
      <c r="H30" s="103"/>
      <c r="I30" s="103"/>
      <c r="J30" s="104"/>
      <c r="K30" s="11"/>
      <c r="L30" s="11"/>
      <c r="M30" s="11"/>
      <c r="N30" s="11"/>
      <c r="O30" s="11"/>
      <c r="P30" s="11"/>
      <c r="Q30" s="11"/>
      <c r="R30" s="11"/>
      <c r="S30" s="11"/>
      <c r="T30" s="11"/>
      <c r="U30" s="11"/>
      <c r="V30" s="11"/>
      <c r="W30" s="11"/>
      <c r="X30" s="11"/>
      <c r="Y30" s="11"/>
      <c r="Z30" s="11"/>
    </row>
    <row r="31">
      <c r="A31" s="11"/>
      <c r="B31" s="11"/>
      <c r="C31" s="11"/>
      <c r="D31" s="11"/>
      <c r="E31" s="105" t="s">
        <v>225</v>
      </c>
      <c r="F31" s="11"/>
      <c r="H31" s="11"/>
      <c r="I31" s="11"/>
      <c r="J31" s="11"/>
      <c r="K31" s="11"/>
      <c r="L31" s="11"/>
      <c r="M31" s="11"/>
      <c r="N31" s="11"/>
      <c r="O31" s="11"/>
      <c r="P31" s="11"/>
      <c r="Q31" s="11"/>
      <c r="R31" s="11"/>
      <c r="S31" s="11"/>
      <c r="T31" s="11"/>
      <c r="U31" s="11"/>
      <c r="V31" s="11"/>
      <c r="W31" s="11"/>
      <c r="X31" s="11"/>
      <c r="Y31" s="11"/>
      <c r="Z31" s="11"/>
    </row>
    <row r="32">
      <c r="A32" s="11"/>
      <c r="B32" s="11"/>
      <c r="C32" s="11"/>
      <c r="D32" s="106" t="s">
        <v>226</v>
      </c>
      <c r="E32" s="107" t="s">
        <v>227</v>
      </c>
      <c r="F32" s="108"/>
      <c r="G32" s="109"/>
      <c r="H32" s="11"/>
      <c r="I32" s="11"/>
      <c r="J32" s="11"/>
      <c r="K32" s="11"/>
      <c r="L32" s="11"/>
      <c r="M32" s="11"/>
      <c r="N32" s="11"/>
      <c r="O32" s="11"/>
      <c r="P32" s="11"/>
      <c r="Q32" s="11"/>
      <c r="R32" s="11"/>
      <c r="S32" s="11"/>
      <c r="T32" s="11"/>
      <c r="U32" s="11"/>
      <c r="V32" s="11"/>
      <c r="W32" s="11"/>
      <c r="X32" s="11"/>
      <c r="Y32" s="11"/>
      <c r="Z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row r="100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row>
    <row r="1002">
      <c r="A1002" s="11"/>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row>
  </sheetData>
  <mergeCells count="35">
    <mergeCell ref="J6:P6"/>
    <mergeCell ref="J7:P7"/>
    <mergeCell ref="B1:P1"/>
    <mergeCell ref="C2:H2"/>
    <mergeCell ref="C3:H3"/>
    <mergeCell ref="B5:G5"/>
    <mergeCell ref="I5:P5"/>
    <mergeCell ref="C6:G6"/>
    <mergeCell ref="C7:G7"/>
    <mergeCell ref="C8:G8"/>
    <mergeCell ref="J8:P8"/>
    <mergeCell ref="E11:F11"/>
    <mergeCell ref="H11:I11"/>
    <mergeCell ref="H12:I12"/>
    <mergeCell ref="C13:J13"/>
    <mergeCell ref="E14:F14"/>
    <mergeCell ref="E18:F18"/>
    <mergeCell ref="E20:F20"/>
    <mergeCell ref="E22:F22"/>
    <mergeCell ref="E24:F24"/>
    <mergeCell ref="H20:I20"/>
    <mergeCell ref="C21:J21"/>
    <mergeCell ref="H22:I22"/>
    <mergeCell ref="C23:J23"/>
    <mergeCell ref="H24:I24"/>
    <mergeCell ref="C25:J25"/>
    <mergeCell ref="B28:J28"/>
    <mergeCell ref="B29:J30"/>
    <mergeCell ref="H14:I14"/>
    <mergeCell ref="C15:J15"/>
    <mergeCell ref="E16:F16"/>
    <mergeCell ref="H16:I16"/>
    <mergeCell ref="C17:J17"/>
    <mergeCell ref="H18:I18"/>
    <mergeCell ref="C19:J19"/>
  </mergeCells>
  <dataValidations>
    <dataValidation type="list" allowBlank="1" showErrorMessage="1" sqref="C2">
      <formula1>Metadata!$A$2:$A$81</formula1>
    </dataValidation>
    <dataValidation type="list" allowBlank="1" showErrorMessage="1" sqref="C6:C8">
      <formula1>Metadata!$C$2:$C$10</formula1>
    </dataValidation>
    <dataValidation type="list" allowBlank="1" showErrorMessage="1" sqref="J6:J8">
      <formula1>Metadata!$D$2:$D$10</formula1>
    </dataValidation>
  </dataValidations>
  <hyperlinks>
    <hyperlink r:id="rId1" ref="L25"/>
    <hyperlink r:id="rId2" ref="L26"/>
  </hyperlinks>
  <printOptions gridLines="1" horizontalCentered="1"/>
  <pageMargins bottom="0.75" footer="0.0" header="0.0" left="0.7" right="0.7" top="0.75"/>
  <pageSetup fitToHeight="0" paperSize="9" cellComments="atEnd" orientation="landscape" pageOrder="overThenDown"/>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14.0"/>
    <col customWidth="1" min="3" max="3" width="24.5"/>
    <col customWidth="1" min="4" max="4" width="16.88"/>
  </cols>
  <sheetData>
    <row r="1" ht="15.75" customHeight="1">
      <c r="A1" s="1"/>
    </row>
    <row r="2" ht="15.75" customHeight="1">
      <c r="A2" s="1"/>
      <c r="B2" s="2" t="s">
        <v>0</v>
      </c>
    </row>
    <row r="3" ht="15.75" customHeight="1">
      <c r="A3" s="1"/>
    </row>
    <row r="4" ht="15.75" customHeight="1">
      <c r="A4" s="1"/>
      <c r="B4" s="3" t="s">
        <v>1</v>
      </c>
      <c r="C4" s="4" t="s">
        <v>2</v>
      </c>
    </row>
    <row r="5">
      <c r="A5" s="1"/>
      <c r="B5" s="5" t="s">
        <v>3</v>
      </c>
      <c r="C5" s="6" t="s">
        <v>4</v>
      </c>
    </row>
    <row r="6">
      <c r="A6" s="1"/>
      <c r="B6" s="5" t="s">
        <v>5</v>
      </c>
    </row>
    <row r="7" ht="15.75" customHeight="1">
      <c r="A7" s="1"/>
    </row>
    <row r="8" ht="15.75" customHeight="1">
      <c r="A8" s="7" t="s">
        <v>6</v>
      </c>
    </row>
    <row r="9" ht="15.75" customHeight="1">
      <c r="A9" s="7" t="s">
        <v>7</v>
      </c>
    </row>
    <row r="10">
      <c r="A10" s="8" t="s">
        <v>8</v>
      </c>
      <c r="B10" s="8" t="s">
        <v>9</v>
      </c>
      <c r="C10" s="8" t="s">
        <v>10</v>
      </c>
      <c r="D10" s="9" t="s">
        <v>11</v>
      </c>
      <c r="E10" s="10"/>
      <c r="F10" s="12"/>
      <c r="G10" s="14" t="s">
        <v>13</v>
      </c>
    </row>
    <row r="11">
      <c r="A11" s="16" t="s">
        <v>15</v>
      </c>
      <c r="B11" s="21">
        <f>S.2!C7+S.3!C7+S.4!C7+S.5!C7+S.6!C7+S.7!C7+S.8!C7+S.9!C7+S.10!C7+S.11!C7</f>
        <v>10</v>
      </c>
      <c r="C11" s="26">
        <f>S.2!C6+S.3!C6+S.4!C6+S.5!C6+S.6!C6+S.7!C6+S.8!C6+S.9!C6+S.10!C6+S.11!C6</f>
        <v>1055</v>
      </c>
      <c r="D11" s="27"/>
      <c r="E11" s="10"/>
      <c r="F11" s="12"/>
      <c r="G11" s="31">
        <v>10.0</v>
      </c>
    </row>
    <row r="12" ht="15.75" customHeight="1">
      <c r="A12" s="35" t="s">
        <v>28</v>
      </c>
      <c r="B12" s="21">
        <f>Proyectos!C6</f>
        <v>65</v>
      </c>
      <c r="C12" s="26">
        <f>Proyectos!C5</f>
        <v>65</v>
      </c>
      <c r="D12" s="27"/>
      <c r="E12" s="10"/>
      <c r="F12" s="12"/>
      <c r="G12" s="31">
        <v>60.0</v>
      </c>
    </row>
    <row r="13" ht="15.75" customHeight="1">
      <c r="A13" s="35" t="s">
        <v>37</v>
      </c>
      <c r="B13" s="21">
        <f>Practicas!C6</f>
        <v>20</v>
      </c>
      <c r="C13" s="26">
        <f>Practicas!C5</f>
        <v>0</v>
      </c>
      <c r="D13" s="27"/>
      <c r="E13" s="10"/>
      <c r="F13" s="12"/>
      <c r="G13" s="31">
        <v>20.0</v>
      </c>
    </row>
    <row r="14" ht="15.75" customHeight="1">
      <c r="A14" s="49" t="s">
        <v>42</v>
      </c>
      <c r="B14" s="53">
        <f>Tareas!C6</f>
        <v>5</v>
      </c>
      <c r="C14" s="26">
        <f>Tareas!C5</f>
        <v>14</v>
      </c>
      <c r="D14" s="55"/>
      <c r="E14" s="59"/>
      <c r="F14" s="60"/>
      <c r="G14" s="31">
        <v>10.0</v>
      </c>
    </row>
    <row r="15" ht="30.0" customHeight="1">
      <c r="A15" s="63" t="s">
        <v>80</v>
      </c>
      <c r="B15" s="69">
        <f t="shared" ref="B15:C15" si="1">SUM(B11:B14)</f>
        <v>100</v>
      </c>
      <c r="C15" s="69">
        <f t="shared" si="1"/>
        <v>1134</v>
      </c>
      <c r="D15" s="71" t="s">
        <v>103</v>
      </c>
      <c r="E15" s="77" t="str">
        <f>IFERROR(__xludf.DUMMYFUNCTION("LET(
  nombres,A11:A14,
  p,B11:B14,
  m,G11:G14,
  t,SUM(p),
  exceden, IFERROR(TEXTJOIN(""; "", TRUE, FILTER(nombres&amp;"" (""&amp;p&amp;""&gt;""&amp;m&amp;"")"", p&gt;m)), """"),
  negs, IF(COUNTIF(p,""&lt;0"")&gt;0, ""Hay valores negativos"", """"),
  totalmsg, IF(t&lt;&gt;100, ""Total ≠"&amp;" 100 (actual ""&amp;t&amp;"")"", """"),
  excesomsg, IF(exceden&lt;&gt;"""", ""Exceden: ""&amp;exceden, """"),
  msg, TEXTJOIN("" | "", TRUE, totalmsg, negs, excesomsg),
  IF(msg="""", ""✅ Distribución válida"", ""❌ Revisar: ""&amp;msg)
)"),"❌ Revisar: Exceden: Proyectos (65&gt;60)")</f>
        <v>❌ Revisar: Exceden: Proyectos (65&gt;60)</v>
      </c>
      <c r="F15" s="78"/>
      <c r="G15" s="79"/>
    </row>
    <row r="16" ht="15.75" customHeight="1">
      <c r="A16" s="1"/>
    </row>
    <row r="17" ht="15.75" customHeight="1">
      <c r="A17" s="1"/>
    </row>
    <row r="18" ht="15.75" customHeight="1">
      <c r="A18" s="1"/>
    </row>
    <row r="19" ht="15.75" customHeight="1">
      <c r="A19" s="1"/>
    </row>
    <row r="20" ht="15.75" customHeight="1">
      <c r="A20" s="1"/>
    </row>
    <row r="21" ht="15.75" customHeight="1">
      <c r="A21" s="1"/>
    </row>
    <row r="22" ht="15.75" customHeight="1">
      <c r="A22" s="1"/>
    </row>
    <row r="23" ht="15.75" customHeight="1">
      <c r="A23" s="1"/>
    </row>
    <row r="24" ht="15.75" customHeight="1">
      <c r="A24" s="1"/>
    </row>
    <row r="25" ht="15.75" customHeight="1">
      <c r="A25" s="1"/>
    </row>
    <row r="26" ht="15.75" customHeight="1">
      <c r="A26" s="1"/>
    </row>
    <row r="27" ht="15.75" customHeight="1">
      <c r="A27" s="1"/>
    </row>
    <row r="28" ht="15.75" customHeight="1">
      <c r="A28" s="1"/>
    </row>
    <row r="29" ht="15.75" customHeight="1">
      <c r="A29" s="1"/>
    </row>
    <row r="30" ht="15.75" customHeight="1">
      <c r="A30" s="1"/>
    </row>
    <row r="31" ht="15.75" customHeight="1">
      <c r="A31" s="1"/>
    </row>
    <row r="32" ht="15.75" customHeight="1">
      <c r="A32" s="1"/>
    </row>
    <row r="33" ht="15.75" customHeight="1">
      <c r="A33" s="1"/>
    </row>
    <row r="34" ht="15.75" customHeight="1">
      <c r="A34" s="1"/>
    </row>
    <row r="35" ht="15.75" customHeight="1">
      <c r="A35" s="1"/>
    </row>
    <row r="36" ht="15.75" customHeight="1">
      <c r="A36" s="1"/>
    </row>
    <row r="37" ht="15.75" customHeight="1">
      <c r="A37" s="1"/>
    </row>
    <row r="38" ht="15.75" customHeight="1">
      <c r="A38" s="1"/>
    </row>
    <row r="39" ht="15.75" customHeight="1">
      <c r="A39" s="1"/>
    </row>
    <row r="40" ht="15.75" customHeight="1">
      <c r="A40" s="1"/>
    </row>
    <row r="41" ht="15.75" customHeight="1">
      <c r="A41" s="1"/>
    </row>
    <row r="42" ht="15.75" customHeight="1">
      <c r="A42" s="1"/>
    </row>
    <row r="43" ht="15.75" customHeight="1">
      <c r="A43" s="1"/>
    </row>
    <row r="44" ht="15.75" customHeight="1">
      <c r="A44" s="1"/>
    </row>
    <row r="45" ht="15.75" customHeight="1">
      <c r="A45" s="1"/>
    </row>
    <row r="46" ht="15.75" customHeight="1">
      <c r="A46" s="1"/>
    </row>
    <row r="47" ht="15.75" customHeight="1">
      <c r="A47" s="1"/>
    </row>
    <row r="48" ht="15.75" customHeight="1">
      <c r="A48" s="1"/>
    </row>
    <row r="49" ht="15.75" customHeight="1">
      <c r="A49" s="1"/>
    </row>
    <row r="50" ht="15.75" customHeight="1">
      <c r="A50" s="1"/>
    </row>
    <row r="51" ht="15.75" customHeight="1">
      <c r="A51" s="1"/>
    </row>
    <row r="52" ht="15.75" customHeight="1">
      <c r="A52" s="1"/>
    </row>
    <row r="53" ht="15.75" customHeight="1">
      <c r="A53" s="1"/>
    </row>
    <row r="54" ht="15.75" customHeight="1">
      <c r="A54" s="1"/>
    </row>
    <row r="55" ht="15.75" customHeight="1">
      <c r="A55" s="1"/>
    </row>
    <row r="56" ht="15.75" customHeight="1">
      <c r="A56" s="1"/>
    </row>
    <row r="57" ht="15.75" customHeight="1">
      <c r="A57" s="1"/>
    </row>
    <row r="58" ht="15.75" customHeight="1">
      <c r="A58" s="1"/>
    </row>
    <row r="59" ht="15.75" customHeight="1">
      <c r="A59" s="1"/>
    </row>
    <row r="60" ht="15.75" customHeight="1">
      <c r="A60" s="1"/>
    </row>
    <row r="61" ht="15.75" customHeight="1">
      <c r="A61" s="1"/>
    </row>
    <row r="62" ht="15.75" customHeight="1">
      <c r="A62" s="1"/>
    </row>
    <row r="63" ht="15.75" customHeight="1">
      <c r="A63" s="1"/>
    </row>
    <row r="64" ht="15.75" customHeight="1">
      <c r="A64" s="1"/>
    </row>
    <row r="65" ht="15.75" customHeight="1">
      <c r="A65" s="1"/>
    </row>
    <row r="66" ht="15.75" customHeight="1">
      <c r="A66" s="1"/>
    </row>
    <row r="67" ht="15.75" customHeight="1">
      <c r="A67" s="1"/>
    </row>
    <row r="68" ht="15.75" customHeight="1">
      <c r="A68" s="1"/>
    </row>
    <row r="69" ht="15.75" customHeight="1">
      <c r="A69" s="1"/>
    </row>
    <row r="70" ht="15.75" customHeight="1">
      <c r="A70" s="1"/>
    </row>
    <row r="71" ht="15.75" customHeight="1">
      <c r="A71" s="1"/>
    </row>
    <row r="72" ht="15.75" customHeight="1">
      <c r="A72" s="1"/>
    </row>
    <row r="73" ht="15.75" customHeight="1">
      <c r="A73" s="1"/>
    </row>
    <row r="74" ht="15.75" customHeight="1">
      <c r="A74" s="1"/>
    </row>
    <row r="75" ht="15.75" customHeight="1">
      <c r="A75" s="1"/>
    </row>
    <row r="76" ht="15.75" customHeight="1">
      <c r="A76" s="1"/>
    </row>
    <row r="77" ht="15.75" customHeight="1">
      <c r="A77" s="1"/>
    </row>
    <row r="78" ht="15.75" customHeight="1">
      <c r="A78" s="1"/>
    </row>
    <row r="79" ht="15.75" customHeight="1">
      <c r="A79" s="1"/>
    </row>
    <row r="80" ht="15.75" customHeight="1">
      <c r="A80" s="1"/>
    </row>
    <row r="81" ht="15.75" customHeight="1">
      <c r="A81" s="1"/>
    </row>
    <row r="82" ht="15.75" customHeight="1">
      <c r="A82" s="1"/>
    </row>
    <row r="83" ht="15.75" customHeight="1">
      <c r="A83" s="1"/>
    </row>
    <row r="84" ht="15.75" customHeight="1">
      <c r="A84" s="1"/>
    </row>
    <row r="85" ht="15.75" customHeight="1">
      <c r="A85" s="1"/>
    </row>
    <row r="86" ht="15.75" customHeight="1">
      <c r="A86" s="1"/>
    </row>
    <row r="87" ht="15.75" customHeight="1">
      <c r="A87" s="1"/>
    </row>
    <row r="88" ht="15.75" customHeight="1">
      <c r="A88" s="1"/>
    </row>
    <row r="89" ht="15.75" customHeight="1">
      <c r="A89" s="1"/>
    </row>
    <row r="90" ht="15.75" customHeight="1">
      <c r="A90" s="1"/>
    </row>
    <row r="91" ht="15.75" customHeight="1">
      <c r="A91" s="1"/>
    </row>
    <row r="92" ht="15.75" customHeight="1">
      <c r="A92" s="1"/>
    </row>
    <row r="93" ht="15.75" customHeight="1">
      <c r="A93" s="1"/>
    </row>
    <row r="94" ht="15.75" customHeight="1">
      <c r="A94" s="1"/>
    </row>
    <row r="95" ht="15.75" customHeight="1">
      <c r="A95" s="1"/>
    </row>
    <row r="96" ht="15.75" customHeight="1">
      <c r="A96" s="1"/>
    </row>
    <row r="97" ht="15.75" customHeight="1">
      <c r="A97" s="1"/>
    </row>
    <row r="98" ht="15.75" customHeight="1">
      <c r="A98" s="1"/>
    </row>
    <row r="99" ht="15.75" customHeight="1">
      <c r="A99" s="1"/>
    </row>
    <row r="100" ht="15.75" customHeight="1">
      <c r="A100" s="1"/>
    </row>
    <row r="101" ht="15.75" customHeight="1">
      <c r="A101" s="1"/>
    </row>
    <row r="102" ht="15.75" customHeight="1">
      <c r="A102" s="1"/>
    </row>
    <row r="103" ht="15.75" customHeight="1">
      <c r="A103" s="1"/>
    </row>
    <row r="104" ht="15.75" customHeight="1">
      <c r="A104" s="1"/>
    </row>
    <row r="105" ht="15.75" customHeight="1">
      <c r="A105" s="1"/>
    </row>
    <row r="106" ht="15.75" customHeight="1">
      <c r="A106" s="1"/>
    </row>
    <row r="107" ht="15.75" customHeight="1">
      <c r="A107" s="1"/>
    </row>
    <row r="108" ht="15.75" customHeight="1">
      <c r="A108" s="1"/>
    </row>
    <row r="109" ht="15.75" customHeight="1">
      <c r="A109" s="1"/>
    </row>
    <row r="110" ht="15.75" customHeight="1">
      <c r="A110" s="1"/>
    </row>
    <row r="111" ht="15.75" customHeight="1">
      <c r="A111" s="1"/>
    </row>
    <row r="112" ht="15.75" customHeight="1">
      <c r="A112" s="1"/>
    </row>
    <row r="113" ht="15.75" customHeight="1">
      <c r="A113" s="1"/>
    </row>
    <row r="114" ht="15.75" customHeight="1">
      <c r="A114" s="1"/>
    </row>
    <row r="115" ht="15.75" customHeight="1">
      <c r="A115" s="1"/>
    </row>
    <row r="116" ht="15.75" customHeight="1">
      <c r="A116" s="1"/>
    </row>
    <row r="117" ht="15.75" customHeight="1">
      <c r="A117" s="1"/>
    </row>
    <row r="118" ht="15.75" customHeight="1">
      <c r="A118" s="1"/>
    </row>
    <row r="119" ht="15.75" customHeight="1">
      <c r="A119" s="1"/>
    </row>
    <row r="120" ht="15.75" customHeight="1">
      <c r="A120" s="1"/>
    </row>
    <row r="121" ht="15.75" customHeight="1">
      <c r="A121" s="1"/>
    </row>
    <row r="122" ht="15.75" customHeight="1">
      <c r="A122" s="1"/>
    </row>
    <row r="123" ht="15.75" customHeight="1">
      <c r="A123" s="1"/>
    </row>
    <row r="124" ht="15.75" customHeight="1">
      <c r="A124" s="1"/>
    </row>
    <row r="125" ht="15.75" customHeight="1">
      <c r="A125" s="1"/>
    </row>
    <row r="126" ht="15.75" customHeight="1">
      <c r="A126" s="1"/>
    </row>
    <row r="127" ht="15.75" customHeight="1">
      <c r="A127" s="1"/>
    </row>
    <row r="128" ht="15.75" customHeight="1">
      <c r="A128" s="1"/>
    </row>
    <row r="129" ht="15.75" customHeight="1">
      <c r="A129" s="1"/>
    </row>
    <row r="130" ht="15.75" customHeight="1">
      <c r="A130" s="1"/>
    </row>
    <row r="131" ht="15.75" customHeight="1">
      <c r="A131" s="1"/>
    </row>
    <row r="132" ht="15.75" customHeight="1">
      <c r="A132" s="1"/>
    </row>
    <row r="133" ht="15.75" customHeight="1">
      <c r="A133" s="1"/>
    </row>
    <row r="134" ht="15.75" customHeight="1">
      <c r="A134" s="1"/>
    </row>
    <row r="135" ht="15.75" customHeight="1">
      <c r="A135" s="1"/>
    </row>
    <row r="136" ht="15.75" customHeight="1">
      <c r="A136" s="1"/>
    </row>
    <row r="137" ht="15.75" customHeight="1">
      <c r="A137" s="1"/>
    </row>
    <row r="138" ht="15.75" customHeight="1">
      <c r="A138" s="1"/>
    </row>
    <row r="139" ht="15.75" customHeight="1">
      <c r="A139" s="1"/>
    </row>
    <row r="140" ht="15.75" customHeight="1">
      <c r="A140" s="1"/>
    </row>
    <row r="141" ht="15.75" customHeight="1">
      <c r="A141" s="1"/>
    </row>
    <row r="142" ht="15.75" customHeight="1">
      <c r="A142" s="1"/>
    </row>
    <row r="143" ht="15.75" customHeight="1">
      <c r="A143" s="1"/>
    </row>
    <row r="144" ht="15.75" customHeight="1">
      <c r="A144" s="1"/>
    </row>
    <row r="145" ht="15.75" customHeight="1">
      <c r="A145" s="1"/>
    </row>
    <row r="146" ht="15.75" customHeight="1">
      <c r="A146" s="1"/>
    </row>
    <row r="147" ht="15.75" customHeight="1">
      <c r="A147" s="1"/>
    </row>
    <row r="148" ht="15.75" customHeight="1">
      <c r="A148" s="1"/>
    </row>
    <row r="149" ht="15.75" customHeight="1">
      <c r="A149" s="1"/>
    </row>
    <row r="150" ht="15.75" customHeight="1">
      <c r="A150" s="1"/>
    </row>
    <row r="151" ht="15.75" customHeight="1">
      <c r="A151" s="1"/>
    </row>
    <row r="152" ht="15.75" customHeight="1">
      <c r="A152" s="1"/>
    </row>
    <row r="153" ht="15.75" customHeight="1">
      <c r="A153" s="1"/>
    </row>
    <row r="154" ht="15.75" customHeight="1">
      <c r="A154" s="1"/>
    </row>
    <row r="155" ht="15.75" customHeight="1">
      <c r="A155" s="1"/>
    </row>
    <row r="156" ht="15.75" customHeight="1">
      <c r="A156" s="1"/>
    </row>
    <row r="157" ht="15.75" customHeight="1">
      <c r="A157" s="1"/>
    </row>
    <row r="158" ht="15.75" customHeight="1">
      <c r="A158" s="1"/>
    </row>
    <row r="159" ht="15.75" customHeight="1">
      <c r="A159" s="1"/>
    </row>
    <row r="160" ht="15.75" customHeight="1">
      <c r="A160" s="1"/>
    </row>
    <row r="161" ht="15.75" customHeight="1">
      <c r="A161" s="1"/>
    </row>
    <row r="162" ht="15.75" customHeight="1">
      <c r="A162" s="1"/>
    </row>
    <row r="163" ht="15.75" customHeight="1">
      <c r="A163" s="1"/>
    </row>
    <row r="164" ht="15.75" customHeight="1">
      <c r="A164" s="1"/>
    </row>
    <row r="165" ht="15.75" customHeight="1">
      <c r="A165" s="1"/>
    </row>
    <row r="166" ht="15.75" customHeight="1">
      <c r="A166" s="1"/>
    </row>
    <row r="167" ht="15.75" customHeight="1">
      <c r="A167" s="1"/>
    </row>
    <row r="168" ht="15.75" customHeight="1">
      <c r="A168" s="1"/>
    </row>
    <row r="169" ht="15.75" customHeight="1">
      <c r="A169" s="1"/>
    </row>
    <row r="170" ht="15.75" customHeight="1">
      <c r="A170" s="1"/>
    </row>
    <row r="171" ht="15.75" customHeight="1">
      <c r="A171" s="1"/>
    </row>
    <row r="172" ht="15.75" customHeight="1">
      <c r="A172" s="1"/>
    </row>
    <row r="173" ht="15.75" customHeight="1">
      <c r="A173" s="1"/>
    </row>
    <row r="174" ht="15.75" customHeight="1">
      <c r="A174" s="1"/>
    </row>
    <row r="175" ht="15.75" customHeight="1">
      <c r="A175" s="1"/>
    </row>
    <row r="176" ht="15.75" customHeight="1">
      <c r="A176" s="1"/>
    </row>
    <row r="177" ht="15.75" customHeight="1">
      <c r="A177" s="1"/>
    </row>
    <row r="178" ht="15.75" customHeight="1">
      <c r="A178" s="1"/>
    </row>
    <row r="179" ht="15.75" customHeight="1">
      <c r="A179" s="1"/>
    </row>
    <row r="180" ht="15.75" customHeight="1">
      <c r="A180" s="1"/>
    </row>
    <row r="181" ht="15.75" customHeight="1">
      <c r="A181" s="1"/>
    </row>
    <row r="182" ht="15.75" customHeight="1">
      <c r="A182" s="1"/>
    </row>
    <row r="183" ht="15.75" customHeight="1">
      <c r="A183" s="1"/>
    </row>
    <row r="184" ht="15.75" customHeight="1">
      <c r="A184" s="1"/>
    </row>
    <row r="185" ht="15.75" customHeight="1">
      <c r="A185" s="1"/>
    </row>
    <row r="186" ht="15.75" customHeight="1">
      <c r="A186" s="1"/>
    </row>
    <row r="187" ht="15.75" customHeight="1">
      <c r="A187" s="1"/>
    </row>
    <row r="188" ht="15.75" customHeight="1">
      <c r="A188" s="1"/>
    </row>
    <row r="189" ht="15.75" customHeight="1">
      <c r="A189" s="1"/>
    </row>
    <row r="190" ht="15.75" customHeight="1">
      <c r="A190" s="1"/>
    </row>
    <row r="191" ht="15.75" customHeight="1">
      <c r="A191" s="1"/>
    </row>
    <row r="192" ht="15.75" customHeight="1">
      <c r="A192" s="1"/>
    </row>
    <row r="193" ht="15.75" customHeight="1">
      <c r="A193" s="1"/>
    </row>
    <row r="194" ht="15.75" customHeight="1">
      <c r="A194" s="1"/>
    </row>
    <row r="195" ht="15.75" customHeight="1">
      <c r="A195" s="1"/>
    </row>
    <row r="196" ht="15.75" customHeight="1">
      <c r="A196" s="1"/>
    </row>
    <row r="197" ht="15.75" customHeight="1">
      <c r="A197" s="1"/>
    </row>
    <row r="198" ht="15.75" customHeight="1">
      <c r="A198" s="1"/>
    </row>
    <row r="199" ht="15.75" customHeight="1">
      <c r="A199" s="1"/>
    </row>
    <row r="200" ht="15.75" customHeight="1">
      <c r="A200" s="1"/>
    </row>
    <row r="201" ht="15.75" customHeight="1">
      <c r="A201" s="1"/>
    </row>
    <row r="202" ht="15.75" customHeight="1">
      <c r="A202" s="1"/>
    </row>
    <row r="203" ht="15.75" customHeight="1">
      <c r="A203" s="1"/>
    </row>
    <row r="204" ht="15.75" customHeight="1">
      <c r="A204" s="1"/>
    </row>
    <row r="205" ht="15.75" customHeight="1">
      <c r="A205" s="1"/>
    </row>
    <row r="206" ht="15.75" customHeight="1">
      <c r="A206" s="1"/>
    </row>
    <row r="207" ht="15.75" customHeight="1">
      <c r="A207" s="1"/>
    </row>
    <row r="208" ht="15.75" customHeight="1">
      <c r="A208" s="1"/>
    </row>
    <row r="209" ht="15.75" customHeight="1">
      <c r="A209" s="1"/>
    </row>
    <row r="210" ht="15.75" customHeight="1">
      <c r="A210" s="1"/>
    </row>
    <row r="211" ht="15.75" customHeight="1">
      <c r="A211" s="1"/>
    </row>
    <row r="212" ht="15.75" customHeight="1">
      <c r="A212" s="1"/>
    </row>
    <row r="213" ht="15.75" customHeight="1">
      <c r="A213" s="1"/>
    </row>
    <row r="214" ht="15.75" customHeight="1">
      <c r="A214" s="1"/>
    </row>
    <row r="215" ht="15.75" customHeight="1">
      <c r="A215" s="1"/>
    </row>
    <row r="216" ht="15.75" customHeight="1">
      <c r="A216" s="1"/>
    </row>
    <row r="217" ht="15.75" customHeight="1">
      <c r="A217" s="1"/>
    </row>
    <row r="218" ht="15.75" customHeight="1">
      <c r="A218" s="1"/>
    </row>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1">
    <mergeCell ref="D12:F12"/>
    <mergeCell ref="D13:F13"/>
    <mergeCell ref="D14:F14"/>
    <mergeCell ref="E15:G15"/>
    <mergeCell ref="C4:H4"/>
    <mergeCell ref="C5:H5"/>
    <mergeCell ref="C6:H6"/>
    <mergeCell ref="A8:G8"/>
    <mergeCell ref="A9:G9"/>
    <mergeCell ref="D10:F10"/>
    <mergeCell ref="D11:F11"/>
  </mergeCells>
  <dataValidations>
    <dataValidation type="list" allowBlank="1" showErrorMessage="1" sqref="C4">
      <formula1>Metadata!$A$2:$A$81</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3.75"/>
    <col customWidth="1" min="2" max="2" width="21.88"/>
    <col customWidth="1" min="3" max="3" width="141.25"/>
    <col customWidth="1" min="4" max="4" width="41.5"/>
    <col customWidth="1" min="5" max="5" width="42.13"/>
    <col customWidth="1" min="6" max="6" width="36.5"/>
    <col customWidth="1" min="7" max="7" width="14.38"/>
  </cols>
  <sheetData>
    <row r="1" ht="15.75" customHeight="1"/>
    <row r="2" ht="15.75" customHeight="1">
      <c r="A2" s="13"/>
      <c r="B2" s="17" t="s">
        <v>14</v>
      </c>
    </row>
    <row r="3" ht="15.75" customHeight="1"/>
    <row r="4" ht="15.75" customHeight="1">
      <c r="B4" s="3" t="s">
        <v>1</v>
      </c>
      <c r="C4" s="4" t="s">
        <v>2</v>
      </c>
    </row>
    <row r="5" ht="15.75" customHeight="1">
      <c r="B5" s="3" t="s">
        <v>16</v>
      </c>
      <c r="C5" s="6" t="s">
        <v>4</v>
      </c>
    </row>
    <row r="6" ht="15.75" customHeight="1">
      <c r="H6" s="19"/>
    </row>
    <row r="7" ht="15.75" customHeight="1">
      <c r="H7" s="19"/>
    </row>
    <row r="8" ht="15.75" customHeight="1">
      <c r="A8" s="20"/>
      <c r="B8" s="22" t="s">
        <v>17</v>
      </c>
      <c r="C8" s="25" t="s">
        <v>19</v>
      </c>
      <c r="D8" s="22" t="s">
        <v>20</v>
      </c>
      <c r="E8" s="22" t="s">
        <v>21</v>
      </c>
      <c r="F8" s="22" t="s">
        <v>22</v>
      </c>
      <c r="G8" s="22" t="s">
        <v>23</v>
      </c>
      <c r="H8" s="22" t="s">
        <v>24</v>
      </c>
    </row>
    <row r="9" ht="39.0" customHeight="1">
      <c r="B9" s="30">
        <v>1.0</v>
      </c>
      <c r="C9" s="32" t="s">
        <v>26</v>
      </c>
      <c r="D9" s="34" t="s">
        <v>29</v>
      </c>
      <c r="E9" s="37" t="s">
        <v>30</v>
      </c>
      <c r="F9" s="37" t="s">
        <v>33</v>
      </c>
      <c r="G9" s="39" t="s">
        <v>34</v>
      </c>
      <c r="H9" s="30">
        <v>2.0</v>
      </c>
    </row>
    <row r="10" ht="67.5" customHeight="1">
      <c r="B10" s="30">
        <v>2.0</v>
      </c>
      <c r="C10" s="32" t="s">
        <v>26</v>
      </c>
      <c r="D10" s="44" t="s">
        <v>29</v>
      </c>
      <c r="E10" s="46" t="s">
        <v>30</v>
      </c>
      <c r="F10" s="46" t="s">
        <v>41</v>
      </c>
      <c r="G10" s="39" t="s">
        <v>34</v>
      </c>
      <c r="H10" s="51">
        <v>2.0</v>
      </c>
    </row>
    <row r="11" ht="15.75" customHeight="1">
      <c r="B11" s="30">
        <v>3.0</v>
      </c>
      <c r="C11" s="32" t="s">
        <v>26</v>
      </c>
      <c r="D11" s="44" t="s">
        <v>29</v>
      </c>
      <c r="E11" s="46" t="s">
        <v>30</v>
      </c>
      <c r="F11" s="46" t="s">
        <v>48</v>
      </c>
      <c r="G11" s="39" t="s">
        <v>34</v>
      </c>
      <c r="H11" s="51">
        <v>2.0</v>
      </c>
    </row>
    <row r="12" ht="15.75" customHeight="1">
      <c r="B12" s="30">
        <v>4.0</v>
      </c>
      <c r="C12" s="32" t="s">
        <v>26</v>
      </c>
      <c r="D12" s="44" t="s">
        <v>29</v>
      </c>
      <c r="E12" s="46" t="s">
        <v>30</v>
      </c>
      <c r="F12" s="46" t="s">
        <v>50</v>
      </c>
      <c r="G12" s="39" t="s">
        <v>34</v>
      </c>
      <c r="H12" s="51">
        <v>2.0</v>
      </c>
    </row>
    <row r="13" ht="15.75" customHeight="1">
      <c r="B13" s="30">
        <v>5.0</v>
      </c>
      <c r="C13" s="32" t="s">
        <v>26</v>
      </c>
      <c r="D13" s="44" t="s">
        <v>29</v>
      </c>
      <c r="E13" s="46" t="s">
        <v>51</v>
      </c>
      <c r="F13" s="46" t="s">
        <v>52</v>
      </c>
      <c r="G13" s="56" t="s">
        <v>53</v>
      </c>
      <c r="H13" s="30">
        <v>3.0</v>
      </c>
    </row>
    <row r="14" ht="15.75" customHeight="1">
      <c r="B14" s="30">
        <v>6.0</v>
      </c>
      <c r="C14" s="32" t="s">
        <v>26</v>
      </c>
      <c r="D14" s="44" t="s">
        <v>29</v>
      </c>
      <c r="E14" s="46" t="s">
        <v>51</v>
      </c>
      <c r="F14" s="46" t="s">
        <v>60</v>
      </c>
      <c r="G14" s="56" t="s">
        <v>53</v>
      </c>
      <c r="H14" s="30">
        <v>3.0</v>
      </c>
    </row>
    <row r="15" ht="15.75" customHeight="1">
      <c r="B15" s="30">
        <v>7.0</v>
      </c>
      <c r="C15" s="32" t="s">
        <v>26</v>
      </c>
      <c r="D15" s="44" t="s">
        <v>29</v>
      </c>
      <c r="E15" s="46" t="s">
        <v>51</v>
      </c>
      <c r="F15" s="46" t="s">
        <v>61</v>
      </c>
      <c r="G15" s="56" t="s">
        <v>53</v>
      </c>
      <c r="H15" s="30">
        <v>3.0</v>
      </c>
    </row>
    <row r="16" ht="15.75" customHeight="1">
      <c r="B16" s="30">
        <v>8.0</v>
      </c>
      <c r="C16" s="32" t="s">
        <v>26</v>
      </c>
      <c r="D16" s="44" t="s">
        <v>29</v>
      </c>
      <c r="E16" s="46" t="s">
        <v>51</v>
      </c>
      <c r="F16" s="46" t="s">
        <v>62</v>
      </c>
      <c r="G16" s="56" t="s">
        <v>53</v>
      </c>
      <c r="H16" s="30">
        <v>3.0</v>
      </c>
    </row>
    <row r="17" ht="15.75" customHeight="1">
      <c r="B17" s="30">
        <v>9.0</v>
      </c>
      <c r="C17" s="32" t="s">
        <v>26</v>
      </c>
      <c r="D17" s="44" t="s">
        <v>29</v>
      </c>
      <c r="E17" s="46" t="s">
        <v>51</v>
      </c>
      <c r="F17" s="46" t="s">
        <v>64</v>
      </c>
      <c r="G17" s="56" t="s">
        <v>53</v>
      </c>
      <c r="H17" s="30">
        <v>3.0</v>
      </c>
    </row>
    <row r="18" ht="15.75" customHeight="1">
      <c r="B18" s="30">
        <v>10.0</v>
      </c>
      <c r="C18" s="32" t="s">
        <v>66</v>
      </c>
      <c r="D18" s="56" t="s">
        <v>29</v>
      </c>
      <c r="E18" s="56" t="s">
        <v>68</v>
      </c>
      <c r="F18" s="56" t="s">
        <v>69</v>
      </c>
      <c r="G18" s="56" t="s">
        <v>53</v>
      </c>
      <c r="H18" s="39">
        <v>4.0</v>
      </c>
    </row>
    <row r="19" ht="15.75" customHeight="1">
      <c r="B19" s="30">
        <v>11.0</v>
      </c>
      <c r="C19" s="32" t="s">
        <v>66</v>
      </c>
      <c r="D19" s="56" t="s">
        <v>29</v>
      </c>
      <c r="E19" s="56" t="s">
        <v>68</v>
      </c>
      <c r="F19" s="56" t="s">
        <v>70</v>
      </c>
      <c r="G19" s="56" t="s">
        <v>53</v>
      </c>
      <c r="H19" s="39">
        <v>4.0</v>
      </c>
    </row>
    <row r="20" ht="15.75" customHeight="1">
      <c r="B20" s="30">
        <v>12.0</v>
      </c>
      <c r="C20" s="32" t="s">
        <v>66</v>
      </c>
      <c r="D20" s="56" t="s">
        <v>29</v>
      </c>
      <c r="E20" s="56" t="s">
        <v>68</v>
      </c>
      <c r="F20" s="56" t="s">
        <v>71</v>
      </c>
      <c r="G20" s="56" t="s">
        <v>53</v>
      </c>
      <c r="H20" s="39">
        <v>4.0</v>
      </c>
    </row>
    <row r="21" ht="15.75" customHeight="1">
      <c r="B21" s="30">
        <v>13.0</v>
      </c>
      <c r="C21" s="32" t="s">
        <v>66</v>
      </c>
      <c r="D21" s="56" t="s">
        <v>29</v>
      </c>
      <c r="E21" s="56" t="s">
        <v>68</v>
      </c>
      <c r="F21" s="56" t="s">
        <v>72</v>
      </c>
      <c r="G21" s="56" t="s">
        <v>53</v>
      </c>
      <c r="H21" s="39">
        <v>4.0</v>
      </c>
    </row>
    <row r="22" ht="15.75" customHeight="1">
      <c r="B22" s="30">
        <v>14.0</v>
      </c>
      <c r="C22" s="32" t="s">
        <v>66</v>
      </c>
      <c r="D22" s="56" t="s">
        <v>29</v>
      </c>
      <c r="E22" s="56" t="s">
        <v>68</v>
      </c>
      <c r="F22" s="56" t="s">
        <v>73</v>
      </c>
      <c r="G22" s="56" t="s">
        <v>53</v>
      </c>
      <c r="H22" s="39">
        <v>4.0</v>
      </c>
    </row>
    <row r="23" ht="15.75" customHeight="1">
      <c r="B23" s="30">
        <v>15.0</v>
      </c>
      <c r="C23" s="32" t="s">
        <v>66</v>
      </c>
      <c r="D23" s="56" t="s">
        <v>74</v>
      </c>
      <c r="E23" s="56" t="s">
        <v>75</v>
      </c>
      <c r="F23" s="56" t="s">
        <v>76</v>
      </c>
      <c r="G23" s="56" t="s">
        <v>53</v>
      </c>
      <c r="H23" s="39">
        <v>5.0</v>
      </c>
    </row>
    <row r="24" ht="15.75" customHeight="1">
      <c r="B24" s="30">
        <v>16.0</v>
      </c>
      <c r="C24" s="32" t="s">
        <v>66</v>
      </c>
      <c r="D24" s="56" t="s">
        <v>74</v>
      </c>
      <c r="E24" s="56" t="s">
        <v>75</v>
      </c>
      <c r="F24" s="56" t="s">
        <v>74</v>
      </c>
      <c r="G24" s="56" t="s">
        <v>53</v>
      </c>
      <c r="H24" s="39">
        <v>5.0</v>
      </c>
    </row>
    <row r="25" ht="15.75" customHeight="1">
      <c r="B25" s="30">
        <v>17.0</v>
      </c>
      <c r="C25" s="32" t="s">
        <v>66</v>
      </c>
      <c r="D25" s="56" t="s">
        <v>74</v>
      </c>
      <c r="E25" s="56" t="s">
        <v>75</v>
      </c>
      <c r="F25" s="56" t="s">
        <v>29</v>
      </c>
      <c r="G25" s="56" t="s">
        <v>53</v>
      </c>
      <c r="H25" s="39">
        <v>5.0</v>
      </c>
    </row>
    <row r="26" ht="15.75" customHeight="1">
      <c r="B26" s="30">
        <v>18.0</v>
      </c>
      <c r="C26" s="32" t="s">
        <v>66</v>
      </c>
      <c r="D26" s="56" t="s">
        <v>74</v>
      </c>
      <c r="E26" s="56" t="s">
        <v>75</v>
      </c>
      <c r="F26" s="56" t="s">
        <v>77</v>
      </c>
      <c r="G26" s="56" t="s">
        <v>53</v>
      </c>
      <c r="H26" s="39">
        <v>5.0</v>
      </c>
    </row>
    <row r="27" ht="15.75" customHeight="1">
      <c r="B27" s="30">
        <v>19.0</v>
      </c>
      <c r="C27" s="32" t="s">
        <v>66</v>
      </c>
      <c r="D27" s="56" t="s">
        <v>74</v>
      </c>
      <c r="E27" s="56" t="s">
        <v>75</v>
      </c>
      <c r="F27" s="56" t="s">
        <v>78</v>
      </c>
      <c r="G27" s="56" t="s">
        <v>53</v>
      </c>
      <c r="H27" s="39">
        <v>5.0</v>
      </c>
      <c r="I27" s="62"/>
    </row>
    <row r="28" ht="15.75" customHeight="1">
      <c r="B28" s="30">
        <v>20.0</v>
      </c>
      <c r="C28" s="32" t="s">
        <v>66</v>
      </c>
      <c r="D28" s="65" t="s">
        <v>74</v>
      </c>
      <c r="E28" s="66" t="s">
        <v>75</v>
      </c>
      <c r="F28" s="66" t="s">
        <v>86</v>
      </c>
      <c r="G28" s="56" t="s">
        <v>53</v>
      </c>
      <c r="H28" s="39">
        <v>5.0</v>
      </c>
    </row>
    <row r="29" ht="15.75" customHeight="1">
      <c r="B29" s="30">
        <v>21.0</v>
      </c>
      <c r="C29" s="32" t="s">
        <v>66</v>
      </c>
      <c r="D29" s="65" t="s">
        <v>74</v>
      </c>
      <c r="E29" s="66" t="s">
        <v>87</v>
      </c>
      <c r="F29" s="66" t="s">
        <v>88</v>
      </c>
      <c r="G29" s="56" t="s">
        <v>53</v>
      </c>
      <c r="H29" s="39">
        <v>6.0</v>
      </c>
    </row>
    <row r="30" ht="15.75" customHeight="1">
      <c r="B30" s="30">
        <v>22.0</v>
      </c>
      <c r="C30" s="32" t="s">
        <v>66</v>
      </c>
      <c r="D30" s="65" t="s">
        <v>74</v>
      </c>
      <c r="E30" s="66" t="s">
        <v>87</v>
      </c>
      <c r="F30" s="66" t="s">
        <v>89</v>
      </c>
      <c r="G30" s="56" t="s">
        <v>53</v>
      </c>
      <c r="H30" s="39">
        <v>6.0</v>
      </c>
    </row>
    <row r="31" ht="15.75" customHeight="1">
      <c r="B31" s="30">
        <v>23.0</v>
      </c>
      <c r="C31" s="32" t="s">
        <v>66</v>
      </c>
      <c r="D31" s="65" t="s">
        <v>74</v>
      </c>
      <c r="E31" s="66" t="s">
        <v>87</v>
      </c>
      <c r="F31" s="66" t="s">
        <v>91</v>
      </c>
      <c r="G31" s="56" t="s">
        <v>53</v>
      </c>
      <c r="H31" s="39">
        <v>6.0</v>
      </c>
    </row>
    <row r="32" ht="15.75" customHeight="1">
      <c r="B32" s="30">
        <v>24.0</v>
      </c>
      <c r="C32" s="32" t="s">
        <v>66</v>
      </c>
      <c r="D32" s="65" t="s">
        <v>74</v>
      </c>
      <c r="E32" s="66" t="s">
        <v>87</v>
      </c>
      <c r="F32" s="66" t="s">
        <v>92</v>
      </c>
      <c r="G32" s="56" t="s">
        <v>53</v>
      </c>
      <c r="H32" s="39">
        <v>6.0</v>
      </c>
    </row>
    <row r="33" ht="14.25" customHeight="1">
      <c r="B33" s="30">
        <v>25.0</v>
      </c>
      <c r="C33" s="32" t="s">
        <v>66</v>
      </c>
      <c r="D33" s="65" t="s">
        <v>74</v>
      </c>
      <c r="E33" s="66" t="s">
        <v>87</v>
      </c>
      <c r="F33" s="66" t="s">
        <v>93</v>
      </c>
      <c r="G33" s="56" t="s">
        <v>53</v>
      </c>
      <c r="H33" s="39">
        <v>6.0</v>
      </c>
    </row>
    <row r="34" ht="12.75" customHeight="1">
      <c r="B34" s="30">
        <v>26.0</v>
      </c>
      <c r="C34" s="32" t="s">
        <v>66</v>
      </c>
      <c r="D34" s="65" t="s">
        <v>74</v>
      </c>
      <c r="E34" s="66" t="s">
        <v>87</v>
      </c>
      <c r="F34" s="66" t="s">
        <v>94</v>
      </c>
      <c r="G34" s="56" t="s">
        <v>53</v>
      </c>
      <c r="H34" s="39">
        <v>6.0</v>
      </c>
    </row>
    <row r="35" ht="25.5" customHeight="1">
      <c r="B35" s="30">
        <v>27.0</v>
      </c>
      <c r="C35" s="32" t="s">
        <v>66</v>
      </c>
      <c r="D35" s="65" t="s">
        <v>74</v>
      </c>
      <c r="E35" s="66" t="s">
        <v>87</v>
      </c>
      <c r="F35" s="66" t="s">
        <v>95</v>
      </c>
      <c r="G35" s="56" t="s">
        <v>53</v>
      </c>
      <c r="H35" s="39">
        <v>6.0</v>
      </c>
    </row>
    <row r="36" ht="15.75" customHeight="1">
      <c r="B36" s="30">
        <v>28.0</v>
      </c>
      <c r="C36" s="32" t="s">
        <v>96</v>
      </c>
      <c r="D36" s="44" t="s">
        <v>97</v>
      </c>
      <c r="E36" s="46" t="s">
        <v>98</v>
      </c>
      <c r="F36" s="46" t="s">
        <v>99</v>
      </c>
      <c r="G36" s="56" t="s">
        <v>100</v>
      </c>
      <c r="H36" s="39">
        <v>7.0</v>
      </c>
    </row>
    <row r="37" ht="15.75" customHeight="1">
      <c r="B37" s="30">
        <v>29.0</v>
      </c>
      <c r="C37" s="32" t="s">
        <v>96</v>
      </c>
      <c r="D37" s="44" t="s">
        <v>97</v>
      </c>
      <c r="E37" s="46" t="s">
        <v>98</v>
      </c>
      <c r="F37" s="46" t="s">
        <v>101</v>
      </c>
      <c r="G37" s="56" t="s">
        <v>100</v>
      </c>
      <c r="H37" s="39">
        <v>7.0</v>
      </c>
    </row>
    <row r="38" ht="15.75" customHeight="1">
      <c r="B38" s="30">
        <v>30.0</v>
      </c>
      <c r="C38" s="32" t="s">
        <v>96</v>
      </c>
      <c r="D38" s="44" t="s">
        <v>97</v>
      </c>
      <c r="E38" s="46" t="s">
        <v>98</v>
      </c>
      <c r="F38" s="46" t="s">
        <v>102</v>
      </c>
      <c r="G38" s="56" t="s">
        <v>100</v>
      </c>
      <c r="H38" s="39">
        <v>7.0</v>
      </c>
    </row>
    <row r="39" ht="15.75" customHeight="1">
      <c r="B39" s="30">
        <v>31.0</v>
      </c>
      <c r="C39" s="32" t="s">
        <v>96</v>
      </c>
      <c r="D39" s="44" t="s">
        <v>97</v>
      </c>
      <c r="E39" s="46" t="s">
        <v>98</v>
      </c>
      <c r="F39" s="46" t="s">
        <v>104</v>
      </c>
      <c r="G39" s="56" t="s">
        <v>100</v>
      </c>
      <c r="H39" s="39">
        <v>7.0</v>
      </c>
    </row>
    <row r="40" ht="15.75" customHeight="1">
      <c r="B40" s="30">
        <v>32.0</v>
      </c>
      <c r="C40" s="32" t="s">
        <v>96</v>
      </c>
      <c r="D40" s="44" t="s">
        <v>97</v>
      </c>
      <c r="E40" s="46" t="s">
        <v>98</v>
      </c>
      <c r="F40" s="46" t="s">
        <v>105</v>
      </c>
      <c r="G40" s="56" t="s">
        <v>100</v>
      </c>
      <c r="H40" s="39">
        <v>7.0</v>
      </c>
    </row>
    <row r="41" ht="15.75" customHeight="1">
      <c r="B41" s="30">
        <v>33.0</v>
      </c>
      <c r="C41" s="32" t="s">
        <v>96</v>
      </c>
      <c r="D41" s="44" t="s">
        <v>97</v>
      </c>
      <c r="E41" s="46" t="s">
        <v>106</v>
      </c>
      <c r="F41" s="46" t="s">
        <v>107</v>
      </c>
      <c r="G41" s="56" t="s">
        <v>100</v>
      </c>
      <c r="H41" s="39">
        <v>7.0</v>
      </c>
    </row>
    <row r="42" ht="15.75" customHeight="1">
      <c r="B42" s="30">
        <v>34.0</v>
      </c>
      <c r="C42" s="32" t="s">
        <v>96</v>
      </c>
      <c r="D42" s="44" t="s">
        <v>97</v>
      </c>
      <c r="E42" s="46" t="s">
        <v>106</v>
      </c>
      <c r="F42" s="46" t="s">
        <v>108</v>
      </c>
      <c r="G42" s="56" t="s">
        <v>100</v>
      </c>
      <c r="H42" s="39">
        <v>7.0</v>
      </c>
    </row>
    <row r="43" ht="15.75" customHeight="1">
      <c r="B43" s="30">
        <v>35.0</v>
      </c>
      <c r="C43" s="32" t="s">
        <v>96</v>
      </c>
      <c r="D43" s="44" t="s">
        <v>97</v>
      </c>
      <c r="E43" s="46" t="s">
        <v>106</v>
      </c>
      <c r="F43" s="46" t="s">
        <v>109</v>
      </c>
      <c r="G43" s="56" t="s">
        <v>100</v>
      </c>
      <c r="H43" s="39">
        <v>7.0</v>
      </c>
    </row>
    <row r="44" ht="15.75" customHeight="1">
      <c r="B44" s="30">
        <v>36.0</v>
      </c>
      <c r="C44" s="32" t="s">
        <v>96</v>
      </c>
      <c r="D44" s="44" t="s">
        <v>97</v>
      </c>
      <c r="E44" s="46" t="s">
        <v>106</v>
      </c>
      <c r="F44" s="46" t="s">
        <v>110</v>
      </c>
      <c r="G44" s="56" t="s">
        <v>100</v>
      </c>
      <c r="H44" s="39">
        <v>7.0</v>
      </c>
    </row>
    <row r="45" ht="15.75" customHeight="1">
      <c r="B45" s="30">
        <v>37.0</v>
      </c>
      <c r="C45" s="32" t="s">
        <v>96</v>
      </c>
      <c r="D45" s="44" t="s">
        <v>97</v>
      </c>
      <c r="E45" s="46" t="s">
        <v>106</v>
      </c>
      <c r="F45" s="46" t="s">
        <v>111</v>
      </c>
      <c r="G45" s="56" t="s">
        <v>100</v>
      </c>
      <c r="H45" s="39">
        <v>7.0</v>
      </c>
    </row>
    <row r="46" ht="42.0" customHeight="1">
      <c r="B46" s="30">
        <v>38.0</v>
      </c>
      <c r="C46" s="32" t="s">
        <v>96</v>
      </c>
      <c r="D46" s="44" t="s">
        <v>97</v>
      </c>
      <c r="E46" s="46" t="s">
        <v>106</v>
      </c>
      <c r="F46" s="46" t="s">
        <v>113</v>
      </c>
      <c r="G46" s="56" t="s">
        <v>100</v>
      </c>
      <c r="H46" s="39">
        <v>7.0</v>
      </c>
    </row>
    <row r="47" ht="15.75" customHeight="1">
      <c r="B47" s="30">
        <v>39.0</v>
      </c>
      <c r="C47" s="32" t="s">
        <v>96</v>
      </c>
      <c r="D47" s="44" t="s">
        <v>97</v>
      </c>
      <c r="E47" s="46" t="s">
        <v>106</v>
      </c>
      <c r="F47" s="46" t="s">
        <v>115</v>
      </c>
      <c r="G47" s="56" t="s">
        <v>100</v>
      </c>
      <c r="H47" s="39">
        <v>7.0</v>
      </c>
    </row>
    <row r="48" ht="15.75" customHeight="1">
      <c r="B48" s="30">
        <v>40.0</v>
      </c>
      <c r="C48" s="32" t="s">
        <v>96</v>
      </c>
      <c r="D48" s="44" t="s">
        <v>97</v>
      </c>
      <c r="E48" s="46" t="s">
        <v>106</v>
      </c>
      <c r="F48" s="46" t="s">
        <v>117</v>
      </c>
      <c r="G48" s="56" t="s">
        <v>100</v>
      </c>
      <c r="H48" s="39">
        <v>7.0</v>
      </c>
    </row>
    <row r="49" ht="15.75" customHeight="1">
      <c r="B49" s="30">
        <v>41.0</v>
      </c>
      <c r="C49" s="32" t="s">
        <v>118</v>
      </c>
      <c r="D49" s="44" t="s">
        <v>97</v>
      </c>
      <c r="E49" s="46" t="s">
        <v>119</v>
      </c>
      <c r="F49" s="46" t="s">
        <v>120</v>
      </c>
      <c r="G49" s="56" t="s">
        <v>121</v>
      </c>
      <c r="H49" s="39">
        <v>8.0</v>
      </c>
    </row>
    <row r="50" ht="15.75" customHeight="1">
      <c r="B50" s="30">
        <v>42.0</v>
      </c>
      <c r="C50" s="32" t="s">
        <v>118</v>
      </c>
      <c r="D50" s="44" t="s">
        <v>97</v>
      </c>
      <c r="E50" s="46" t="s">
        <v>119</v>
      </c>
      <c r="F50" s="46" t="s">
        <v>122</v>
      </c>
      <c r="G50" s="56" t="s">
        <v>121</v>
      </c>
      <c r="H50" s="39">
        <v>8.0</v>
      </c>
    </row>
    <row r="51" ht="15.75" customHeight="1">
      <c r="B51" s="30">
        <v>43.0</v>
      </c>
      <c r="C51" s="32" t="s">
        <v>118</v>
      </c>
      <c r="D51" s="44" t="s">
        <v>97</v>
      </c>
      <c r="E51" s="46" t="s">
        <v>119</v>
      </c>
      <c r="F51" s="46" t="s">
        <v>123</v>
      </c>
      <c r="G51" s="56" t="s">
        <v>121</v>
      </c>
      <c r="H51" s="39">
        <v>8.0</v>
      </c>
    </row>
    <row r="52" ht="15.75" customHeight="1">
      <c r="B52" s="30">
        <v>44.0</v>
      </c>
      <c r="C52" s="32" t="s">
        <v>118</v>
      </c>
      <c r="D52" s="44" t="s">
        <v>97</v>
      </c>
      <c r="E52" s="46" t="s">
        <v>119</v>
      </c>
      <c r="F52" s="46" t="s">
        <v>124</v>
      </c>
      <c r="G52" s="56" t="s">
        <v>121</v>
      </c>
      <c r="H52" s="39">
        <v>8.0</v>
      </c>
    </row>
    <row r="53" ht="15.75" customHeight="1">
      <c r="B53" s="30">
        <v>45.0</v>
      </c>
      <c r="C53" s="32" t="s">
        <v>118</v>
      </c>
      <c r="D53" s="44" t="s">
        <v>97</v>
      </c>
      <c r="E53" s="46" t="s">
        <v>119</v>
      </c>
      <c r="F53" s="46" t="s">
        <v>126</v>
      </c>
      <c r="G53" s="56" t="s">
        <v>121</v>
      </c>
      <c r="H53" s="39">
        <v>8.0</v>
      </c>
    </row>
    <row r="54" ht="15.75" customHeight="1">
      <c r="B54" s="30">
        <v>46.0</v>
      </c>
      <c r="C54" s="32" t="s">
        <v>118</v>
      </c>
      <c r="D54" s="44" t="s">
        <v>97</v>
      </c>
      <c r="E54" s="46" t="s">
        <v>119</v>
      </c>
      <c r="F54" s="46" t="s">
        <v>127</v>
      </c>
      <c r="G54" s="56" t="s">
        <v>121</v>
      </c>
      <c r="H54" s="39">
        <v>8.0</v>
      </c>
    </row>
    <row r="55" ht="15.75" customHeight="1">
      <c r="B55" s="30">
        <v>47.0</v>
      </c>
      <c r="C55" s="32" t="s">
        <v>118</v>
      </c>
      <c r="D55" s="44" t="s">
        <v>97</v>
      </c>
      <c r="E55" s="46" t="s">
        <v>128</v>
      </c>
      <c r="F55" s="46" t="s">
        <v>129</v>
      </c>
      <c r="G55" s="56" t="s">
        <v>121</v>
      </c>
      <c r="H55" s="39">
        <v>9.0</v>
      </c>
    </row>
    <row r="56" ht="15.75" customHeight="1">
      <c r="B56" s="30">
        <v>48.0</v>
      </c>
      <c r="C56" s="32" t="s">
        <v>118</v>
      </c>
      <c r="D56" s="44" t="s">
        <v>97</v>
      </c>
      <c r="E56" s="46" t="s">
        <v>128</v>
      </c>
      <c r="F56" s="46" t="s">
        <v>130</v>
      </c>
      <c r="G56" s="56" t="s">
        <v>121</v>
      </c>
      <c r="H56" s="39">
        <v>9.0</v>
      </c>
    </row>
    <row r="57" ht="15.75" customHeight="1">
      <c r="B57" s="30">
        <v>49.0</v>
      </c>
      <c r="C57" s="32" t="s">
        <v>118</v>
      </c>
      <c r="D57" s="44" t="s">
        <v>97</v>
      </c>
      <c r="E57" s="46" t="s">
        <v>128</v>
      </c>
      <c r="F57" s="46" t="s">
        <v>131</v>
      </c>
      <c r="G57" s="56" t="s">
        <v>121</v>
      </c>
      <c r="H57" s="39">
        <v>9.0</v>
      </c>
    </row>
    <row r="58" ht="15.75" customHeight="1">
      <c r="B58" s="30">
        <v>50.0</v>
      </c>
      <c r="C58" s="32" t="s">
        <v>118</v>
      </c>
      <c r="D58" s="44" t="s">
        <v>97</v>
      </c>
      <c r="E58" s="46" t="s">
        <v>132</v>
      </c>
      <c r="F58" s="46" t="s">
        <v>133</v>
      </c>
      <c r="G58" s="56" t="s">
        <v>121</v>
      </c>
      <c r="H58" s="39">
        <v>10.0</v>
      </c>
    </row>
    <row r="59" ht="15.75" customHeight="1">
      <c r="B59" s="30">
        <v>51.0</v>
      </c>
      <c r="C59" s="32" t="s">
        <v>118</v>
      </c>
      <c r="D59" s="44" t="s">
        <v>97</v>
      </c>
      <c r="E59" s="46" t="s">
        <v>132</v>
      </c>
      <c r="F59" s="46" t="s">
        <v>134</v>
      </c>
      <c r="G59" s="56" t="s">
        <v>121</v>
      </c>
      <c r="H59" s="39">
        <v>10.0</v>
      </c>
    </row>
    <row r="60" ht="15.75" customHeight="1">
      <c r="B60" s="30">
        <v>52.0</v>
      </c>
      <c r="C60" s="32" t="s">
        <v>118</v>
      </c>
      <c r="D60" s="44" t="s">
        <v>97</v>
      </c>
      <c r="E60" s="46" t="s">
        <v>132</v>
      </c>
      <c r="F60" s="46" t="s">
        <v>136</v>
      </c>
      <c r="G60" s="56" t="s">
        <v>121</v>
      </c>
      <c r="H60" s="39">
        <v>10.0</v>
      </c>
    </row>
    <row r="61" ht="15.75" customHeight="1">
      <c r="B61" s="30">
        <v>53.0</v>
      </c>
      <c r="C61" s="32" t="s">
        <v>118</v>
      </c>
      <c r="D61" s="44" t="s">
        <v>97</v>
      </c>
      <c r="E61" s="46" t="s">
        <v>132</v>
      </c>
      <c r="F61" s="46" t="s">
        <v>138</v>
      </c>
      <c r="G61" s="56" t="s">
        <v>121</v>
      </c>
      <c r="H61" s="39">
        <v>10.0</v>
      </c>
    </row>
    <row r="62" ht="15.75" customHeight="1">
      <c r="B62" s="30">
        <v>54.0</v>
      </c>
      <c r="C62" s="32" t="s">
        <v>96</v>
      </c>
      <c r="D62" s="44" t="s">
        <v>140</v>
      </c>
      <c r="E62" s="46" t="s">
        <v>141</v>
      </c>
      <c r="F62" s="46" t="s">
        <v>142</v>
      </c>
      <c r="G62" s="56" t="s">
        <v>121</v>
      </c>
      <c r="H62" s="39">
        <v>10.0</v>
      </c>
    </row>
    <row r="63" ht="15.75" customHeight="1">
      <c r="B63" s="30">
        <v>55.0</v>
      </c>
      <c r="C63" s="32" t="s">
        <v>96</v>
      </c>
      <c r="D63" s="44" t="s">
        <v>140</v>
      </c>
      <c r="E63" s="46" t="s">
        <v>141</v>
      </c>
      <c r="F63" s="46" t="s">
        <v>144</v>
      </c>
      <c r="G63" s="56" t="s">
        <v>121</v>
      </c>
      <c r="H63" s="39">
        <v>10.0</v>
      </c>
    </row>
    <row r="64" ht="15.75" customHeight="1">
      <c r="B64" s="30">
        <v>56.0</v>
      </c>
      <c r="C64" s="32" t="s">
        <v>96</v>
      </c>
      <c r="D64" s="44" t="s">
        <v>140</v>
      </c>
      <c r="E64" s="46" t="s">
        <v>141</v>
      </c>
      <c r="F64" s="46" t="s">
        <v>145</v>
      </c>
      <c r="G64" s="56" t="s">
        <v>121</v>
      </c>
      <c r="H64" s="39">
        <v>10.0</v>
      </c>
    </row>
    <row r="65" ht="15.75" customHeight="1">
      <c r="B65" s="30">
        <v>57.0</v>
      </c>
      <c r="C65" s="32" t="s">
        <v>96</v>
      </c>
      <c r="D65" s="44" t="s">
        <v>140</v>
      </c>
      <c r="E65" s="46" t="s">
        <v>141</v>
      </c>
      <c r="F65" s="46" t="s">
        <v>146</v>
      </c>
      <c r="G65" s="56" t="s">
        <v>121</v>
      </c>
      <c r="H65" s="39">
        <v>10.0</v>
      </c>
    </row>
    <row r="66" ht="15.75" customHeight="1">
      <c r="B66" s="30">
        <v>58.0</v>
      </c>
      <c r="C66" s="32" t="s">
        <v>96</v>
      </c>
      <c r="D66" s="44" t="s">
        <v>140</v>
      </c>
      <c r="E66" s="46" t="s">
        <v>141</v>
      </c>
      <c r="F66" s="46" t="s">
        <v>147</v>
      </c>
      <c r="G66" s="56" t="s">
        <v>121</v>
      </c>
      <c r="H66" s="39">
        <v>10.0</v>
      </c>
    </row>
    <row r="67" ht="15.75" customHeight="1">
      <c r="B67" s="30">
        <v>59.0</v>
      </c>
      <c r="C67" s="32" t="s">
        <v>96</v>
      </c>
      <c r="D67" s="44" t="s">
        <v>140</v>
      </c>
      <c r="E67" s="46" t="s">
        <v>141</v>
      </c>
      <c r="F67" s="46" t="s">
        <v>148</v>
      </c>
      <c r="G67" s="56" t="s">
        <v>121</v>
      </c>
      <c r="H67" s="39">
        <v>10.0</v>
      </c>
    </row>
    <row r="68" ht="15.75" customHeight="1">
      <c r="B68" s="30">
        <v>60.0</v>
      </c>
      <c r="C68" s="32" t="s">
        <v>150</v>
      </c>
      <c r="D68" s="44" t="s">
        <v>140</v>
      </c>
      <c r="E68" s="46" t="s">
        <v>152</v>
      </c>
      <c r="F68" s="46" t="s">
        <v>153</v>
      </c>
      <c r="G68" s="56" t="s">
        <v>121</v>
      </c>
      <c r="H68" s="39">
        <v>10.0</v>
      </c>
    </row>
    <row r="69" ht="15.75" customHeight="1">
      <c r="B69" s="30">
        <v>61.0</v>
      </c>
      <c r="C69" s="32" t="s">
        <v>150</v>
      </c>
      <c r="D69" s="44" t="s">
        <v>140</v>
      </c>
      <c r="E69" s="46" t="s">
        <v>152</v>
      </c>
      <c r="F69" s="46" t="s">
        <v>154</v>
      </c>
      <c r="G69" s="56" t="s">
        <v>121</v>
      </c>
      <c r="H69" s="39">
        <v>10.0</v>
      </c>
    </row>
    <row r="70" ht="15.75" customHeight="1">
      <c r="B70" s="30">
        <v>62.0</v>
      </c>
      <c r="C70" s="32" t="s">
        <v>150</v>
      </c>
      <c r="D70" s="44" t="s">
        <v>140</v>
      </c>
      <c r="E70" s="46" t="s">
        <v>152</v>
      </c>
      <c r="F70" s="46" t="s">
        <v>155</v>
      </c>
      <c r="G70" s="56" t="s">
        <v>121</v>
      </c>
      <c r="H70" s="39">
        <v>10.0</v>
      </c>
    </row>
    <row r="71" ht="15.75" customHeight="1">
      <c r="B71" s="30">
        <v>63.0</v>
      </c>
      <c r="C71" s="32" t="s">
        <v>150</v>
      </c>
      <c r="D71" s="44" t="s">
        <v>140</v>
      </c>
      <c r="E71" s="46" t="s">
        <v>152</v>
      </c>
      <c r="F71" s="46" t="s">
        <v>157</v>
      </c>
      <c r="G71" s="56" t="s">
        <v>121</v>
      </c>
      <c r="H71" s="39">
        <v>10.0</v>
      </c>
    </row>
    <row r="72" ht="15.75" customHeight="1">
      <c r="B72" s="30">
        <v>64.0</v>
      </c>
      <c r="C72" s="32" t="s">
        <v>150</v>
      </c>
      <c r="D72" s="44" t="s">
        <v>140</v>
      </c>
      <c r="E72" s="46" t="s">
        <v>152</v>
      </c>
      <c r="F72" s="46" t="s">
        <v>158</v>
      </c>
      <c r="G72" s="56" t="s">
        <v>121</v>
      </c>
      <c r="H72" s="39">
        <v>10.0</v>
      </c>
    </row>
    <row r="73" ht="34.5" customHeight="1">
      <c r="B73" s="30">
        <v>65.0</v>
      </c>
      <c r="C73" s="32" t="s">
        <v>150</v>
      </c>
      <c r="D73" s="44" t="s">
        <v>140</v>
      </c>
      <c r="E73" s="46" t="s">
        <v>152</v>
      </c>
      <c r="F73" s="46" t="s">
        <v>159</v>
      </c>
      <c r="G73" s="56" t="s">
        <v>121</v>
      </c>
      <c r="H73" s="39">
        <v>10.0</v>
      </c>
    </row>
    <row r="74" ht="15.75" customHeight="1">
      <c r="B74" s="30">
        <v>66.0</v>
      </c>
      <c r="C74" s="32" t="s">
        <v>96</v>
      </c>
      <c r="D74" s="44" t="s">
        <v>140</v>
      </c>
      <c r="E74" s="46" t="s">
        <v>160</v>
      </c>
      <c r="F74" s="46" t="s">
        <v>161</v>
      </c>
      <c r="G74" s="56" t="s">
        <v>121</v>
      </c>
      <c r="H74" s="39">
        <v>11.0</v>
      </c>
    </row>
    <row r="75" ht="42.75" customHeight="1">
      <c r="B75" s="30">
        <v>67.0</v>
      </c>
      <c r="C75" s="32" t="s">
        <v>96</v>
      </c>
      <c r="D75" s="44" t="s">
        <v>140</v>
      </c>
      <c r="E75" s="46" t="s">
        <v>160</v>
      </c>
      <c r="F75" s="46" t="s">
        <v>162</v>
      </c>
      <c r="G75" s="56" t="s">
        <v>121</v>
      </c>
      <c r="H75" s="39">
        <v>11.0</v>
      </c>
    </row>
    <row r="76" ht="15.75" customHeight="1">
      <c r="B76" s="30">
        <v>68.0</v>
      </c>
      <c r="C76" s="32" t="s">
        <v>96</v>
      </c>
      <c r="D76" s="44" t="s">
        <v>140</v>
      </c>
      <c r="E76" s="46" t="s">
        <v>160</v>
      </c>
      <c r="F76" s="46" t="s">
        <v>165</v>
      </c>
      <c r="G76" s="56" t="s">
        <v>121</v>
      </c>
      <c r="H76" s="39">
        <v>11.0</v>
      </c>
    </row>
    <row r="77" ht="15.75" customHeight="1">
      <c r="B77" s="30">
        <v>69.0</v>
      </c>
      <c r="C77" s="32" t="s">
        <v>96</v>
      </c>
      <c r="D77" s="44" t="s">
        <v>140</v>
      </c>
      <c r="E77" s="46" t="s">
        <v>160</v>
      </c>
      <c r="F77" s="46" t="s">
        <v>169</v>
      </c>
      <c r="G77" s="56" t="s">
        <v>121</v>
      </c>
      <c r="H77" s="39">
        <v>11.0</v>
      </c>
    </row>
    <row r="78" ht="15.75" customHeight="1">
      <c r="B78" s="30">
        <v>70.0</v>
      </c>
      <c r="C78" s="32" t="s">
        <v>96</v>
      </c>
      <c r="D78" s="44" t="s">
        <v>140</v>
      </c>
      <c r="E78" s="46" t="s">
        <v>160</v>
      </c>
      <c r="F78" s="46" t="s">
        <v>171</v>
      </c>
      <c r="G78" s="56" t="s">
        <v>121</v>
      </c>
      <c r="H78" s="39">
        <v>11.0</v>
      </c>
    </row>
    <row r="79" ht="15.75" customHeight="1">
      <c r="B79" s="30">
        <v>71.0</v>
      </c>
      <c r="C79" s="32" t="s">
        <v>96</v>
      </c>
      <c r="D79" s="44" t="s">
        <v>140</v>
      </c>
      <c r="E79" s="46" t="s">
        <v>160</v>
      </c>
      <c r="F79" s="46" t="s">
        <v>173</v>
      </c>
      <c r="G79" s="56" t="s">
        <v>121</v>
      </c>
      <c r="H79" s="39">
        <v>11.0</v>
      </c>
    </row>
    <row r="80" ht="15.75" customHeight="1">
      <c r="B80" s="30">
        <v>72.0</v>
      </c>
      <c r="C80" s="32" t="s">
        <v>96</v>
      </c>
      <c r="D80" s="44" t="s">
        <v>140</v>
      </c>
      <c r="E80" s="46" t="s">
        <v>160</v>
      </c>
      <c r="F80" s="46" t="s">
        <v>176</v>
      </c>
      <c r="G80" s="56" t="s">
        <v>121</v>
      </c>
      <c r="H80" s="39">
        <v>11.0</v>
      </c>
    </row>
    <row r="81" ht="15.75" customHeight="1">
      <c r="B81" s="30">
        <v>73.0</v>
      </c>
      <c r="C81" s="32" t="s">
        <v>96</v>
      </c>
      <c r="D81" s="44" t="s">
        <v>140</v>
      </c>
      <c r="E81" s="46" t="s">
        <v>160</v>
      </c>
      <c r="F81" s="46" t="s">
        <v>177</v>
      </c>
      <c r="G81" s="56" t="s">
        <v>121</v>
      </c>
      <c r="H81" s="39">
        <v>11.0</v>
      </c>
    </row>
    <row r="82" ht="15.75" customHeight="1">
      <c r="B82" s="30">
        <v>74.0</v>
      </c>
      <c r="C82" s="32" t="s">
        <v>96</v>
      </c>
      <c r="D82" s="44" t="s">
        <v>140</v>
      </c>
      <c r="E82" s="46" t="s">
        <v>178</v>
      </c>
      <c r="F82" s="46" t="s">
        <v>179</v>
      </c>
      <c r="G82" s="56" t="s">
        <v>121</v>
      </c>
      <c r="H82" s="39">
        <v>11.0</v>
      </c>
    </row>
    <row r="83" ht="15.75" customHeight="1">
      <c r="B83" s="30">
        <v>75.0</v>
      </c>
      <c r="C83" s="32" t="s">
        <v>96</v>
      </c>
      <c r="D83" s="44" t="s">
        <v>140</v>
      </c>
      <c r="E83" s="46" t="s">
        <v>178</v>
      </c>
      <c r="F83" s="46" t="s">
        <v>180</v>
      </c>
      <c r="G83" s="56" t="s">
        <v>121</v>
      </c>
      <c r="H83" s="39">
        <v>11.0</v>
      </c>
    </row>
    <row r="84" ht="38.25" customHeight="1">
      <c r="B84" s="30">
        <v>76.0</v>
      </c>
      <c r="C84" s="32" t="s">
        <v>96</v>
      </c>
      <c r="D84" s="44" t="s">
        <v>140</v>
      </c>
      <c r="E84" s="46" t="s">
        <v>178</v>
      </c>
      <c r="F84" s="46" t="s">
        <v>183</v>
      </c>
      <c r="G84" s="56" t="s">
        <v>121</v>
      </c>
      <c r="H84" s="39">
        <v>11.0</v>
      </c>
    </row>
    <row r="85" ht="15.75" customHeight="1">
      <c r="B85" s="30">
        <v>77.0</v>
      </c>
      <c r="C85" s="32" t="s">
        <v>96</v>
      </c>
      <c r="D85" s="44" t="s">
        <v>140</v>
      </c>
      <c r="E85" s="46" t="s">
        <v>178</v>
      </c>
      <c r="F85" s="46" t="s">
        <v>186</v>
      </c>
      <c r="G85" s="56" t="s">
        <v>121</v>
      </c>
      <c r="H85" s="39">
        <v>11.0</v>
      </c>
    </row>
    <row r="86" ht="15.75" customHeight="1">
      <c r="B86" s="30">
        <v>78.0</v>
      </c>
      <c r="C86" s="32" t="s">
        <v>96</v>
      </c>
      <c r="D86" s="44" t="s">
        <v>140</v>
      </c>
      <c r="E86" s="46" t="s">
        <v>178</v>
      </c>
      <c r="F86" s="46" t="s">
        <v>187</v>
      </c>
      <c r="G86" s="56" t="s">
        <v>121</v>
      </c>
      <c r="H86" s="39">
        <v>11.0</v>
      </c>
    </row>
    <row r="87" ht="15.75" customHeight="1">
      <c r="B87" s="30">
        <v>79.0</v>
      </c>
      <c r="C87" s="32" t="s">
        <v>96</v>
      </c>
      <c r="D87" s="44" t="s">
        <v>140</v>
      </c>
      <c r="E87" s="46" t="s">
        <v>178</v>
      </c>
      <c r="F87" s="46" t="s">
        <v>189</v>
      </c>
      <c r="G87" s="56" t="s">
        <v>121</v>
      </c>
      <c r="H87" s="39">
        <v>11.0</v>
      </c>
    </row>
    <row r="88" ht="15.75" customHeight="1">
      <c r="B88" s="30">
        <v>80.0</v>
      </c>
      <c r="C88" s="32" t="s">
        <v>96</v>
      </c>
      <c r="D88" s="44" t="s">
        <v>140</v>
      </c>
      <c r="E88" s="46" t="s">
        <v>178</v>
      </c>
      <c r="F88" s="46" t="s">
        <v>192</v>
      </c>
      <c r="G88" s="56" t="s">
        <v>121</v>
      </c>
      <c r="H88" s="39">
        <v>11.0</v>
      </c>
    </row>
    <row r="89" ht="15.75" customHeight="1">
      <c r="B89" s="30">
        <v>81.0</v>
      </c>
      <c r="C89" s="32" t="s">
        <v>96</v>
      </c>
      <c r="D89" s="44" t="s">
        <v>140</v>
      </c>
      <c r="E89" s="46" t="s">
        <v>178</v>
      </c>
      <c r="F89" s="46" t="s">
        <v>194</v>
      </c>
      <c r="G89" s="56" t="s">
        <v>121</v>
      </c>
      <c r="H89" s="39">
        <v>11.0</v>
      </c>
    </row>
    <row r="90" ht="15.75" customHeight="1">
      <c r="B90" s="30">
        <v>82.0</v>
      </c>
      <c r="C90" s="87"/>
      <c r="D90" s="87"/>
      <c r="E90" s="87"/>
      <c r="F90" s="87"/>
      <c r="G90" s="87"/>
      <c r="H90" s="87"/>
    </row>
    <row r="91" ht="15.75" customHeight="1">
      <c r="B91" s="30">
        <v>83.0</v>
      </c>
      <c r="C91" s="87"/>
      <c r="D91" s="87"/>
      <c r="E91" s="87"/>
      <c r="F91" s="87"/>
      <c r="G91" s="87"/>
      <c r="H91" s="87"/>
    </row>
    <row r="92" ht="15.75" customHeight="1">
      <c r="B92" s="30">
        <v>84.0</v>
      </c>
      <c r="C92" s="87"/>
      <c r="D92" s="87"/>
      <c r="E92" s="87"/>
      <c r="F92" s="87"/>
      <c r="G92" s="87"/>
      <c r="H92" s="87"/>
    </row>
    <row r="93" ht="15.75" customHeight="1">
      <c r="B93" s="30">
        <v>85.0</v>
      </c>
      <c r="C93" s="87"/>
      <c r="D93" s="87"/>
      <c r="E93" s="87"/>
      <c r="F93" s="87"/>
      <c r="G93" s="87"/>
      <c r="H93" s="87"/>
    </row>
    <row r="94" ht="15.75" customHeight="1">
      <c r="B94" s="30">
        <v>86.0</v>
      </c>
      <c r="C94" s="87"/>
      <c r="D94" s="87"/>
      <c r="E94" s="87"/>
      <c r="F94" s="87"/>
      <c r="G94" s="87"/>
      <c r="H94" s="87"/>
    </row>
    <row r="95" ht="15.75" customHeight="1">
      <c r="B95" s="30">
        <v>87.0</v>
      </c>
      <c r="C95" s="87"/>
      <c r="D95" s="87"/>
      <c r="E95" s="87"/>
      <c r="F95" s="87"/>
      <c r="G95" s="87"/>
      <c r="H95" s="87"/>
    </row>
    <row r="96" ht="15.75" customHeight="1">
      <c r="B96" s="30">
        <v>88.0</v>
      </c>
      <c r="C96" s="87"/>
      <c r="D96" s="87"/>
      <c r="E96" s="87"/>
      <c r="F96" s="87"/>
      <c r="G96" s="87"/>
      <c r="H96" s="87"/>
    </row>
    <row r="97" ht="15.75" customHeight="1">
      <c r="B97" s="30">
        <v>89.0</v>
      </c>
      <c r="C97" s="87"/>
      <c r="D97" s="87"/>
      <c r="E97" s="87"/>
      <c r="F97" s="87"/>
      <c r="G97" s="87"/>
      <c r="H97" s="87"/>
    </row>
    <row r="98" ht="15.75" customHeight="1">
      <c r="B98" s="30">
        <v>90.0</v>
      </c>
      <c r="C98" s="87"/>
      <c r="D98" s="87"/>
      <c r="E98" s="87"/>
      <c r="F98" s="87"/>
      <c r="G98" s="87"/>
      <c r="H98" s="87"/>
    </row>
    <row r="99" ht="15.75" customHeight="1">
      <c r="B99" s="30">
        <v>91.0</v>
      </c>
      <c r="C99" s="87"/>
      <c r="D99" s="87"/>
      <c r="E99" s="87"/>
      <c r="F99" s="87"/>
      <c r="G99" s="87"/>
      <c r="H99" s="87"/>
    </row>
    <row r="100" ht="15.75" customHeight="1">
      <c r="B100" s="30">
        <v>92.0</v>
      </c>
      <c r="C100" s="87"/>
      <c r="D100" s="87"/>
      <c r="E100" s="87"/>
      <c r="F100" s="87"/>
      <c r="G100" s="87"/>
      <c r="H100" s="87"/>
    </row>
    <row r="101" ht="15.75" customHeight="1">
      <c r="B101" s="30">
        <v>93.0</v>
      </c>
      <c r="C101" s="89"/>
      <c r="D101" s="87"/>
      <c r="E101" s="87"/>
      <c r="F101" s="87"/>
      <c r="G101" s="87"/>
      <c r="H101" s="87"/>
    </row>
    <row r="102" ht="15.75" customHeight="1">
      <c r="B102" s="30">
        <v>94.0</v>
      </c>
      <c r="C102" s="89"/>
      <c r="D102" s="87"/>
      <c r="E102" s="87"/>
      <c r="F102" s="87"/>
      <c r="G102" s="87"/>
      <c r="H102" s="87"/>
    </row>
    <row r="103" ht="15.75" customHeight="1">
      <c r="B103" s="30">
        <v>95.0</v>
      </c>
      <c r="C103" s="89"/>
      <c r="D103" s="87"/>
      <c r="E103" s="87"/>
      <c r="F103" s="87"/>
      <c r="G103" s="87"/>
      <c r="H103" s="87"/>
    </row>
    <row r="104" ht="15.75" customHeight="1">
      <c r="B104" s="30">
        <v>96.0</v>
      </c>
      <c r="C104" s="89"/>
      <c r="D104" s="87"/>
      <c r="E104" s="87"/>
      <c r="F104" s="87"/>
      <c r="G104" s="87"/>
      <c r="H104" s="87"/>
    </row>
    <row r="105" ht="15.75" customHeight="1">
      <c r="B105" s="30">
        <v>97.0</v>
      </c>
      <c r="C105" s="89"/>
      <c r="D105" s="87"/>
      <c r="E105" s="87"/>
      <c r="F105" s="87"/>
      <c r="G105" s="87"/>
      <c r="H105" s="87"/>
    </row>
    <row r="106" ht="15.75" customHeight="1">
      <c r="B106" s="30">
        <v>98.0</v>
      </c>
      <c r="C106" s="89"/>
      <c r="D106" s="87"/>
      <c r="E106" s="87"/>
      <c r="F106" s="87"/>
      <c r="G106" s="87"/>
      <c r="H106" s="87"/>
    </row>
    <row r="107" ht="15.75" customHeight="1">
      <c r="C107" s="1"/>
    </row>
    <row r="108" ht="15.75" customHeight="1">
      <c r="C108" s="1"/>
    </row>
    <row r="109" ht="15.75" customHeight="1">
      <c r="C109" s="1"/>
    </row>
    <row r="110" ht="15.75" customHeight="1">
      <c r="C110" s="1"/>
    </row>
    <row r="111" ht="15.75" customHeight="1">
      <c r="C111" s="1"/>
    </row>
    <row r="112" ht="15.75" customHeight="1">
      <c r="C112" s="1"/>
    </row>
    <row r="113" ht="15.75" customHeight="1">
      <c r="C113" s="1"/>
    </row>
    <row r="114" ht="15.75" customHeight="1">
      <c r="C114" s="1"/>
    </row>
    <row r="115" ht="15.75" customHeight="1">
      <c r="C115" s="1"/>
    </row>
    <row r="116" ht="15.75" customHeight="1">
      <c r="C116" s="1"/>
    </row>
    <row r="117" ht="15.75" customHeight="1">
      <c r="C117" s="1"/>
    </row>
    <row r="118" ht="15.75" customHeight="1">
      <c r="C118" s="1"/>
    </row>
    <row r="119" ht="15.75" customHeight="1">
      <c r="C119" s="1"/>
    </row>
    <row r="120" ht="15.75" customHeight="1">
      <c r="C120" s="1"/>
    </row>
    <row r="121" ht="15.75" customHeight="1">
      <c r="C121" s="1"/>
    </row>
    <row r="122" ht="15.75" customHeight="1">
      <c r="C122" s="1"/>
    </row>
    <row r="123" ht="15.75" customHeight="1">
      <c r="C123" s="1"/>
    </row>
    <row r="124" ht="15.75" customHeight="1">
      <c r="C124" s="1"/>
    </row>
    <row r="125" ht="15.75" customHeight="1">
      <c r="C125" s="1"/>
    </row>
    <row r="126" ht="15.75" customHeight="1">
      <c r="C126" s="1"/>
    </row>
    <row r="127" ht="15.75" customHeight="1">
      <c r="C127" s="1"/>
    </row>
    <row r="128" ht="15.75" customHeight="1">
      <c r="C128" s="1"/>
    </row>
    <row r="129" ht="15.75" customHeight="1">
      <c r="C129" s="1"/>
    </row>
    <row r="130" ht="15.75" customHeight="1">
      <c r="C130" s="1"/>
    </row>
    <row r="131" ht="15.75" customHeight="1">
      <c r="C131" s="1"/>
    </row>
    <row r="132" ht="15.75" customHeight="1">
      <c r="C132" s="1"/>
    </row>
    <row r="133" ht="15.75" customHeight="1">
      <c r="C133" s="1"/>
    </row>
    <row r="134" ht="15.75" customHeight="1">
      <c r="C134" s="1"/>
    </row>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3">
    <mergeCell ref="B2:H2"/>
    <mergeCell ref="C4:H4"/>
    <mergeCell ref="C5:H5"/>
  </mergeCells>
  <dataValidations>
    <dataValidation type="list" allowBlank="1" showErrorMessage="1" sqref="C4">
      <formula1>Metadata!$A$2:$A$81</formula1>
    </dataValidation>
    <dataValidation type="list" allowBlank="1" showErrorMessage="1" sqref="C9:C89 C101:C106">
      <formula1>Metadata!$B$2:$B$12</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7" max="7" width="14.88"/>
  </cols>
  <sheetData>
    <row r="1" ht="15.75" customHeight="1"/>
    <row r="2" ht="15.75" customHeight="1">
      <c r="B2" s="17" t="s">
        <v>14</v>
      </c>
    </row>
    <row r="3" ht="15.75" customHeight="1"/>
    <row r="4" ht="15.75" customHeight="1">
      <c r="B4" s="18" t="s">
        <v>1</v>
      </c>
      <c r="C4" s="28" t="str">
        <f>'Diseño'!C4</f>
        <v>796 - Lenguajes Formales y de Programación</v>
      </c>
      <c r="D4" s="24"/>
      <c r="E4" s="24"/>
      <c r="F4" s="24"/>
      <c r="G4" s="29"/>
    </row>
    <row r="5" ht="15.75" customHeight="1">
      <c r="B5" s="30" t="s">
        <v>24</v>
      </c>
      <c r="C5" s="28">
        <v>1.0</v>
      </c>
      <c r="D5" s="24"/>
      <c r="E5" s="24"/>
      <c r="F5" s="24"/>
      <c r="G5" s="29"/>
    </row>
    <row r="6" ht="15.75" customHeight="1">
      <c r="B6" s="30" t="s">
        <v>27</v>
      </c>
      <c r="C6" s="28">
        <f>B15+B22+B29+B41+B47+C48</f>
        <v>55</v>
      </c>
      <c r="D6" s="24"/>
      <c r="E6" s="24"/>
      <c r="F6" s="24"/>
      <c r="G6" s="29"/>
    </row>
    <row r="7" ht="15.75" customHeight="1"/>
    <row r="8" ht="15.75" customHeight="1">
      <c r="K8" s="38" t="s">
        <v>32</v>
      </c>
    </row>
    <row r="9" ht="15.75" customHeight="1">
      <c r="A9" s="40" t="s">
        <v>35</v>
      </c>
      <c r="G9" s="41" t="s">
        <v>36</v>
      </c>
      <c r="H9" s="43">
        <f>B15</f>
        <v>15</v>
      </c>
    </row>
    <row r="10" ht="15.75" customHeight="1">
      <c r="G10" s="45" t="s">
        <v>38</v>
      </c>
    </row>
    <row r="11" ht="24.75" customHeight="1">
      <c r="A11" s="47" t="s">
        <v>40</v>
      </c>
      <c r="B11" s="52" t="s">
        <v>43</v>
      </c>
      <c r="C11" s="24"/>
      <c r="D11" s="24"/>
      <c r="E11" s="24"/>
      <c r="F11" s="24"/>
      <c r="G11" s="24"/>
      <c r="H11" s="29"/>
    </row>
    <row r="12">
      <c r="A12" s="47" t="s">
        <v>54</v>
      </c>
      <c r="B12" s="52" t="s">
        <v>55</v>
      </c>
      <c r="C12" s="24"/>
      <c r="D12" s="24"/>
      <c r="E12" s="24"/>
      <c r="F12" s="24"/>
      <c r="G12" s="24"/>
      <c r="H12" s="29"/>
    </row>
    <row r="13">
      <c r="A13" s="58" t="s">
        <v>59</v>
      </c>
      <c r="B13" s="52" t="s">
        <v>79</v>
      </c>
      <c r="C13" s="24"/>
      <c r="D13" s="24"/>
      <c r="E13" s="24"/>
      <c r="F13" s="24"/>
      <c r="G13" s="24"/>
      <c r="H13" s="29"/>
    </row>
    <row r="14">
      <c r="A14" s="58" t="s">
        <v>81</v>
      </c>
      <c r="B14" s="52" t="s">
        <v>82</v>
      </c>
      <c r="C14" s="24"/>
      <c r="D14" s="24"/>
      <c r="E14" s="24"/>
      <c r="F14" s="24"/>
      <c r="G14" s="24"/>
      <c r="H14" s="29"/>
    </row>
    <row r="15" ht="15.75" customHeight="1">
      <c r="A15" s="68" t="s">
        <v>84</v>
      </c>
      <c r="B15" s="72">
        <v>15.0</v>
      </c>
      <c r="C15" s="24"/>
      <c r="D15" s="24"/>
      <c r="E15" s="24"/>
      <c r="F15" s="24"/>
      <c r="G15" s="24"/>
      <c r="H15" s="29"/>
    </row>
    <row r="16" ht="15.75" customHeight="1"/>
    <row r="17" ht="15.75" customHeight="1"/>
    <row r="18" ht="15.75" customHeight="1">
      <c r="A18" s="75" t="s">
        <v>114</v>
      </c>
      <c r="G18" s="41" t="s">
        <v>36</v>
      </c>
      <c r="H18" s="43">
        <f>B22</f>
        <v>40</v>
      </c>
    </row>
    <row r="19" ht="15.75" customHeight="1">
      <c r="G19" s="45" t="s">
        <v>135</v>
      </c>
      <c r="K19" s="38" t="s">
        <v>137</v>
      </c>
    </row>
    <row r="20">
      <c r="A20" s="47" t="s">
        <v>139</v>
      </c>
      <c r="B20" s="82" t="s">
        <v>143</v>
      </c>
      <c r="C20" s="24"/>
      <c r="D20" s="24"/>
      <c r="E20" s="24"/>
      <c r="F20" s="24"/>
      <c r="G20" s="24"/>
      <c r="H20" s="29"/>
    </row>
    <row r="21">
      <c r="A21" s="47" t="s">
        <v>149</v>
      </c>
      <c r="B21" s="52" t="s">
        <v>151</v>
      </c>
      <c r="C21" s="24"/>
      <c r="D21" s="24"/>
      <c r="E21" s="24"/>
      <c r="F21" s="24"/>
      <c r="G21" s="24"/>
      <c r="H21" s="29"/>
    </row>
    <row r="22">
      <c r="A22" s="68" t="s">
        <v>84</v>
      </c>
      <c r="B22" s="72">
        <v>40.0</v>
      </c>
      <c r="C22" s="24"/>
      <c r="D22" s="24"/>
      <c r="E22" s="24"/>
      <c r="F22" s="24"/>
      <c r="G22" s="24"/>
      <c r="H22" s="29"/>
    </row>
    <row r="23" ht="15.75" customHeight="1"/>
    <row r="24" ht="15.75" customHeight="1"/>
    <row r="25" ht="15.75" customHeight="1">
      <c r="A25" s="75" t="s">
        <v>156</v>
      </c>
      <c r="G25" s="84" t="s">
        <v>36</v>
      </c>
      <c r="H25" s="43" t="str">
        <f>B29</f>
        <v/>
      </c>
    </row>
    <row r="26" ht="15.75" customHeight="1">
      <c r="G26" s="45" t="s">
        <v>166</v>
      </c>
      <c r="H26" s="45"/>
      <c r="I26" s="45"/>
      <c r="J26" s="45"/>
    </row>
    <row r="27" ht="39.75" customHeight="1">
      <c r="A27" s="47" t="s">
        <v>168</v>
      </c>
      <c r="B27" s="82" t="s">
        <v>170</v>
      </c>
      <c r="C27" s="24"/>
      <c r="D27" s="24"/>
      <c r="E27" s="24"/>
      <c r="F27" s="24"/>
      <c r="G27" s="24"/>
      <c r="H27" s="29"/>
      <c r="K27" s="38" t="s">
        <v>172</v>
      </c>
    </row>
    <row r="28" ht="69.75" customHeight="1">
      <c r="A28" s="47" t="s">
        <v>174</v>
      </c>
      <c r="B28" s="86" t="s">
        <v>175</v>
      </c>
      <c r="C28" s="24"/>
      <c r="D28" s="24"/>
      <c r="E28" s="24"/>
      <c r="F28" s="24"/>
      <c r="G28" s="24"/>
      <c r="H28" s="29"/>
    </row>
    <row r="29" ht="15.75" customHeight="1">
      <c r="A29" s="68" t="s">
        <v>84</v>
      </c>
      <c r="B29" s="28"/>
      <c r="C29" s="24"/>
      <c r="D29" s="24"/>
      <c r="E29" s="24"/>
      <c r="F29" s="24"/>
      <c r="G29" s="24"/>
      <c r="H29" s="29"/>
    </row>
    <row r="30" ht="15.75" customHeight="1"/>
    <row r="31" ht="15.75" customHeight="1"/>
    <row r="32" ht="15.75" customHeight="1">
      <c r="A32" s="75" t="s">
        <v>184</v>
      </c>
      <c r="G32" s="84" t="s">
        <v>36</v>
      </c>
      <c r="H32" s="43" t="str">
        <f>B36</f>
        <v/>
      </c>
    </row>
    <row r="33" ht="15.75" customHeight="1">
      <c r="A33" s="19" t="s">
        <v>188</v>
      </c>
      <c r="G33" s="19" t="s">
        <v>190</v>
      </c>
    </row>
    <row r="34">
      <c r="A34" s="47" t="s">
        <v>191</v>
      </c>
      <c r="B34" s="52"/>
      <c r="C34" s="24"/>
      <c r="D34" s="24"/>
      <c r="E34" s="24"/>
      <c r="F34" s="24"/>
      <c r="G34" s="24"/>
      <c r="H34" s="29"/>
      <c r="K34" s="38" t="s">
        <v>193</v>
      </c>
    </row>
    <row r="35">
      <c r="A35" s="47" t="s">
        <v>195</v>
      </c>
      <c r="B35" s="88" t="s">
        <v>196</v>
      </c>
      <c r="C35" s="24"/>
      <c r="D35" s="24"/>
      <c r="E35" s="24"/>
      <c r="F35" s="24"/>
      <c r="G35" s="24"/>
      <c r="H35" s="29"/>
    </row>
    <row r="36" ht="15.75" customHeight="1">
      <c r="A36" s="68" t="s">
        <v>84</v>
      </c>
      <c r="B36" s="28"/>
      <c r="C36" s="24"/>
      <c r="D36" s="24"/>
      <c r="E36" s="24"/>
      <c r="F36" s="24"/>
      <c r="G36" s="24"/>
      <c r="H36" s="29"/>
    </row>
    <row r="37" ht="15.75" customHeight="1"/>
    <row r="38" ht="15.75" customHeight="1"/>
    <row r="39" ht="15.75" customHeight="1">
      <c r="A39" s="75" t="s">
        <v>201</v>
      </c>
      <c r="G39" s="84" t="s">
        <v>36</v>
      </c>
      <c r="H39" s="43" t="str">
        <f>B41</f>
        <v/>
      </c>
    </row>
    <row r="40" ht="15.75" customHeight="1">
      <c r="G40" s="45" t="s">
        <v>202</v>
      </c>
    </row>
    <row r="41" ht="15.75" customHeight="1">
      <c r="A41" s="68" t="s">
        <v>84</v>
      </c>
      <c r="B41" s="28"/>
      <c r="C41" s="24"/>
      <c r="D41" s="24"/>
      <c r="E41" s="24"/>
      <c r="F41" s="24"/>
      <c r="G41" s="24"/>
      <c r="H41" s="29"/>
    </row>
    <row r="42" ht="15.75" customHeight="1"/>
    <row r="43" ht="15.75" customHeight="1"/>
    <row r="44" ht="15.75" customHeight="1">
      <c r="A44" s="75" t="s">
        <v>203</v>
      </c>
      <c r="G44" s="84" t="s">
        <v>36</v>
      </c>
      <c r="H44" s="43" t="str">
        <f>B47</f>
        <v/>
      </c>
    </row>
    <row r="45" ht="15.75" customHeight="1">
      <c r="G45" s="45" t="s">
        <v>38</v>
      </c>
    </row>
    <row r="46">
      <c r="A46" s="47" t="s">
        <v>204</v>
      </c>
      <c r="B46" s="90" t="s">
        <v>205</v>
      </c>
      <c r="C46" s="24"/>
      <c r="D46" s="24"/>
      <c r="E46" s="24"/>
      <c r="F46" s="24"/>
      <c r="G46" s="24"/>
      <c r="H46" s="29"/>
    </row>
    <row r="47" ht="15.75" customHeight="1">
      <c r="A47" s="68" t="s">
        <v>84</v>
      </c>
      <c r="B47" s="28"/>
      <c r="C47" s="24"/>
      <c r="D47" s="24"/>
      <c r="E47" s="24"/>
      <c r="F47" s="24"/>
      <c r="G47" s="24"/>
      <c r="H47" s="29"/>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37">
    <mergeCell ref="B11:H11"/>
    <mergeCell ref="B12:H12"/>
    <mergeCell ref="B13:H13"/>
    <mergeCell ref="B14:H14"/>
    <mergeCell ref="A1:A6"/>
    <mergeCell ref="C4:G4"/>
    <mergeCell ref="C5:G5"/>
    <mergeCell ref="C6:G6"/>
    <mergeCell ref="K8:N17"/>
    <mergeCell ref="A9:F9"/>
    <mergeCell ref="G10:I10"/>
    <mergeCell ref="B15:H15"/>
    <mergeCell ref="A18:F18"/>
    <mergeCell ref="G19:I19"/>
    <mergeCell ref="K19:N25"/>
    <mergeCell ref="B20:H20"/>
    <mergeCell ref="B21:H21"/>
    <mergeCell ref="B22:H22"/>
    <mergeCell ref="A25:F25"/>
    <mergeCell ref="B27:H27"/>
    <mergeCell ref="K27:N31"/>
    <mergeCell ref="B28:H28"/>
    <mergeCell ref="B29:H29"/>
    <mergeCell ref="A32:F32"/>
    <mergeCell ref="G33:M33"/>
    <mergeCell ref="B41:H41"/>
    <mergeCell ref="A44:F44"/>
    <mergeCell ref="G45:I45"/>
    <mergeCell ref="B46:H46"/>
    <mergeCell ref="B47:H47"/>
    <mergeCell ref="A33:F33"/>
    <mergeCell ref="B34:H34"/>
    <mergeCell ref="K34:N42"/>
    <mergeCell ref="B35:H35"/>
    <mergeCell ref="B36:H36"/>
    <mergeCell ref="A39:F39"/>
    <mergeCell ref="G40:I40"/>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228</v>
      </c>
    </row>
    <row r="3" ht="15.75" customHeight="1"/>
    <row r="4" ht="15.75" customHeight="1">
      <c r="B4" s="18" t="s">
        <v>1</v>
      </c>
      <c r="C4" s="110" t="str">
        <f>'Diseño'!C4</f>
        <v>796 - Lenguajes Formales y de Programación</v>
      </c>
      <c r="D4" s="24"/>
      <c r="E4" s="24"/>
      <c r="F4" s="24"/>
      <c r="G4" s="29"/>
    </row>
    <row r="5" ht="15.75" customHeight="1">
      <c r="B5" s="30" t="s">
        <v>24</v>
      </c>
      <c r="C5" s="28">
        <v>2.0</v>
      </c>
      <c r="D5" s="24"/>
      <c r="E5" s="24"/>
      <c r="F5" s="24"/>
      <c r="G5" s="29"/>
    </row>
    <row r="6" ht="15.75" customHeight="1">
      <c r="B6" s="89" t="s">
        <v>27</v>
      </c>
      <c r="C6" s="28">
        <f>H10+H21+H44+H68</f>
        <v>110</v>
      </c>
      <c r="D6" s="24"/>
      <c r="E6" s="24"/>
      <c r="F6" s="24"/>
      <c r="G6" s="29"/>
      <c r="I6" s="6"/>
    </row>
    <row r="7" ht="15.75" customHeight="1">
      <c r="B7" s="89" t="s">
        <v>229</v>
      </c>
      <c r="C7" s="28">
        <f>B49+B60</f>
        <v>0</v>
      </c>
      <c r="D7" s="24"/>
      <c r="E7" s="24"/>
      <c r="F7" s="24"/>
      <c r="G7" s="29"/>
    </row>
    <row r="8">
      <c r="B8" s="89" t="s">
        <v>230</v>
      </c>
      <c r="C8" s="111" t="str">
        <f>IF(H44&lt;=0, "❌ ERROR: La Actividad 1 debe tener un tiempo mayor a 0.", IF(H21&gt;60, "❌ ERROR: El 'Área de Conocimiento' no puede exceder los 60 min.", IF((H10+H21+H44)&lt;100, "❌ ERROR: El tiempo total debe ser de al menos 100 min.", "✅ VALIDACIÓN CORRECTA")))</f>
        <v>✅ VALIDACIÓN CORRECTA</v>
      </c>
      <c r="D8" s="24"/>
      <c r="E8" s="24"/>
      <c r="F8" s="24"/>
      <c r="G8" s="29"/>
      <c r="I8" s="6"/>
      <c r="J8" s="6"/>
      <c r="K8" s="6"/>
    </row>
    <row r="9" ht="15.75" customHeight="1"/>
    <row r="10" ht="15.75" customHeight="1">
      <c r="A10" s="112" t="s">
        <v>231</v>
      </c>
      <c r="G10" s="84" t="s">
        <v>36</v>
      </c>
      <c r="H10" s="113">
        <v>5.0</v>
      </c>
    </row>
    <row r="11" ht="15.75" customHeight="1">
      <c r="G11" s="45" t="s">
        <v>232</v>
      </c>
    </row>
    <row r="12" ht="15.75" customHeight="1">
      <c r="A12" s="58" t="s">
        <v>233</v>
      </c>
      <c r="B12" s="72" t="s">
        <v>234</v>
      </c>
      <c r="C12" s="24"/>
      <c r="D12" s="24"/>
      <c r="E12" s="24"/>
      <c r="F12" s="24"/>
      <c r="G12" s="24"/>
      <c r="H12" s="29"/>
    </row>
    <row r="13" ht="15.75" customHeight="1">
      <c r="A13" s="68" t="s">
        <v>36</v>
      </c>
      <c r="B13" s="72">
        <v>5.0</v>
      </c>
      <c r="C13" s="24"/>
      <c r="D13" s="24"/>
      <c r="E13" s="24"/>
      <c r="F13" s="24"/>
      <c r="G13" s="24"/>
      <c r="H13" s="29"/>
    </row>
    <row r="14" ht="15.75" customHeight="1">
      <c r="A14" s="114" t="s">
        <v>235</v>
      </c>
      <c r="B14" s="24"/>
      <c r="C14" s="24"/>
      <c r="D14" s="24"/>
      <c r="E14" s="24"/>
      <c r="F14" s="24"/>
      <c r="G14" s="24"/>
      <c r="H14" s="29"/>
    </row>
    <row r="15" ht="15.75" customHeight="1">
      <c r="A15" s="115" t="s">
        <v>236</v>
      </c>
      <c r="B15" s="100"/>
      <c r="C15" s="100"/>
      <c r="D15" s="100"/>
      <c r="E15" s="100"/>
      <c r="F15" s="100"/>
      <c r="G15" s="100"/>
      <c r="H15" s="101"/>
    </row>
    <row r="16" ht="15.75" customHeight="1">
      <c r="A16" s="102"/>
      <c r="B16" s="103"/>
      <c r="C16" s="103"/>
      <c r="D16" s="103"/>
      <c r="E16" s="103"/>
      <c r="F16" s="103"/>
      <c r="G16" s="103"/>
      <c r="H16" s="104"/>
    </row>
    <row r="17" ht="15.75" customHeight="1">
      <c r="A17" s="114" t="s">
        <v>238</v>
      </c>
      <c r="B17" s="24"/>
      <c r="C17" s="24"/>
      <c r="D17" s="24"/>
      <c r="E17" s="24"/>
      <c r="F17" s="24"/>
      <c r="G17" s="24"/>
      <c r="H17" s="29"/>
    </row>
    <row r="18" ht="15.75" customHeight="1">
      <c r="A18" s="115" t="s">
        <v>239</v>
      </c>
      <c r="B18" s="100"/>
      <c r="C18" s="100"/>
      <c r="D18" s="100"/>
      <c r="E18" s="100"/>
      <c r="F18" s="100"/>
      <c r="G18" s="100"/>
      <c r="H18" s="101"/>
    </row>
    <row r="19" ht="15.75" customHeight="1">
      <c r="A19" s="102"/>
      <c r="B19" s="103"/>
      <c r="C19" s="103"/>
      <c r="D19" s="103"/>
      <c r="E19" s="103"/>
      <c r="F19" s="103"/>
      <c r="G19" s="103"/>
      <c r="H19" s="104"/>
    </row>
    <row r="20" ht="15.75" customHeight="1"/>
    <row r="21" ht="15.75" customHeight="1">
      <c r="A21" s="112" t="s">
        <v>241</v>
      </c>
      <c r="G21" s="84" t="s">
        <v>36</v>
      </c>
      <c r="H21" s="113">
        <v>60.0</v>
      </c>
      <c r="I21" s="6"/>
    </row>
    <row r="22" ht="15.75" customHeight="1">
      <c r="G22" s="45" t="s">
        <v>243</v>
      </c>
    </row>
    <row r="23" ht="15.75" customHeight="1">
      <c r="A23" s="58" t="s">
        <v>244</v>
      </c>
      <c r="B23" s="90" t="s">
        <v>26</v>
      </c>
      <c r="C23" s="24"/>
      <c r="D23" s="24"/>
      <c r="E23" s="24"/>
      <c r="F23" s="24"/>
      <c r="G23" s="24"/>
      <c r="H23" s="29"/>
    </row>
    <row r="24" ht="15.75" customHeight="1">
      <c r="A24" s="58" t="s">
        <v>244</v>
      </c>
      <c r="B24" s="86" t="s">
        <v>245</v>
      </c>
      <c r="C24" s="24"/>
      <c r="D24" s="24"/>
      <c r="E24" s="24"/>
      <c r="F24" s="24"/>
      <c r="G24" s="24"/>
      <c r="H24" s="29"/>
    </row>
    <row r="25" ht="15.75" customHeight="1"/>
    <row r="26" ht="15.75" customHeight="1">
      <c r="A26" s="118" t="s">
        <v>246</v>
      </c>
      <c r="B26" s="6"/>
      <c r="C26" s="6"/>
      <c r="D26" s="6"/>
    </row>
    <row r="27" ht="15.75" customHeight="1">
      <c r="A27" s="119" t="s">
        <v>17</v>
      </c>
      <c r="B27" s="120" t="s">
        <v>247</v>
      </c>
      <c r="C27" s="29"/>
      <c r="D27" s="120" t="s">
        <v>248</v>
      </c>
      <c r="E27" s="29"/>
      <c r="F27" s="120" t="s">
        <v>249</v>
      </c>
      <c r="G27" s="24"/>
      <c r="H27" s="29"/>
    </row>
    <row r="28" ht="15.75" customHeight="1">
      <c r="A28" s="121">
        <v>1.0</v>
      </c>
      <c r="B28" s="52" t="str">
        <f>IFERROR(__xludf.DUMMYFUNCTION("FILTER('Diseño'!D:D,'Diseño'!H:H=$C$5)"),"Lenguajes de Programacion")</f>
        <v>Lenguajes de Programacion</v>
      </c>
      <c r="C28" s="29"/>
      <c r="D28" s="52" t="str">
        <f>IFERROR(__xludf.DUMMYFUNCTION("FILTER('Diseño'!E:E,'Diseño'!H:H=$C$5)"),"Introduccion al lenguaje de Programacion")</f>
        <v>Introduccion al lenguaje de Programacion</v>
      </c>
      <c r="E28" s="29"/>
      <c r="F28" s="52" t="str">
        <f>IFERROR(__xludf.DUMMYFUNCTION("FILTER('Diseño'!F:F,'Diseño'!H:H=$C$5)"),"Historia de la Programacion")</f>
        <v>Historia de la Programacion</v>
      </c>
      <c r="G28" s="24"/>
      <c r="H28" s="29"/>
    </row>
    <row r="29" ht="15.75" customHeight="1">
      <c r="A29" s="121">
        <v>2.0</v>
      </c>
      <c r="B29" s="52" t="str">
        <f>IFERROR(__xludf.DUMMYFUNCTION("""COMPUTED_VALUE"""),"Lenguajes de Programacion")</f>
        <v>Lenguajes de Programacion</v>
      </c>
      <c r="C29" s="29"/>
      <c r="D29" s="52" t="str">
        <f>IFERROR(__xludf.DUMMYFUNCTION("""COMPUTED_VALUE"""),"Introduccion al lenguaje de Programacion")</f>
        <v>Introduccion al lenguaje de Programacion</v>
      </c>
      <c r="E29" s="29"/>
      <c r="F29" s="52" t="str">
        <f>IFERROR(__xludf.DUMMYFUNCTION("""COMPUTED_VALUE"""),"Aspectos Basicos de la Programacion")</f>
        <v>Aspectos Basicos de la Programacion</v>
      </c>
      <c r="G29" s="24"/>
      <c r="H29" s="29"/>
    </row>
    <row r="30" ht="15.75" customHeight="1">
      <c r="A30" s="121">
        <v>3.0</v>
      </c>
      <c r="B30" s="52" t="str">
        <f>IFERROR(__xludf.DUMMYFUNCTION("""COMPUTED_VALUE"""),"Lenguajes de Programacion")</f>
        <v>Lenguajes de Programacion</v>
      </c>
      <c r="C30" s="29"/>
      <c r="D30" s="52" t="str">
        <f>IFERROR(__xludf.DUMMYFUNCTION("""COMPUTED_VALUE"""),"Introduccion al lenguaje de Programacion")</f>
        <v>Introduccion al lenguaje de Programacion</v>
      </c>
      <c r="E30" s="29"/>
      <c r="F30" s="52" t="str">
        <f>IFERROR(__xludf.DUMMYFUNCTION("""COMPUTED_VALUE"""),"Reglas de Sintaxis")</f>
        <v>Reglas de Sintaxis</v>
      </c>
      <c r="G30" s="24"/>
      <c r="H30" s="29"/>
    </row>
    <row r="31" ht="15.75" customHeight="1">
      <c r="A31" s="121">
        <v>4.0</v>
      </c>
      <c r="B31" s="52" t="str">
        <f>IFERROR(__xludf.DUMMYFUNCTION("""COMPUTED_VALUE"""),"Lenguajes de Programacion")</f>
        <v>Lenguajes de Programacion</v>
      </c>
      <c r="C31" s="29"/>
      <c r="D31" s="52" t="str">
        <f>IFERROR(__xludf.DUMMYFUNCTION("""COMPUTED_VALUE"""),"Introduccion al lenguaje de Programacion")</f>
        <v>Introduccion al lenguaje de Programacion</v>
      </c>
      <c r="E31" s="29"/>
      <c r="F31" s="52" t="str">
        <f>IFERROR(__xludf.DUMMYFUNCTION("""COMPUTED_VALUE"""),"Estructura de un programa")</f>
        <v>Estructura de un programa</v>
      </c>
      <c r="G31" s="24"/>
      <c r="H31" s="29"/>
    </row>
    <row r="32" ht="15.75" customHeight="1">
      <c r="A32" s="121">
        <v>5.0</v>
      </c>
      <c r="B32" s="123" t="s">
        <v>29</v>
      </c>
      <c r="C32" s="29"/>
      <c r="D32" s="123" t="s">
        <v>30</v>
      </c>
      <c r="E32" s="29"/>
      <c r="F32" s="123" t="s">
        <v>48</v>
      </c>
      <c r="G32" s="24"/>
      <c r="H32" s="29"/>
    </row>
    <row r="33" ht="15.75" customHeight="1">
      <c r="A33" s="30">
        <v>6.0</v>
      </c>
      <c r="B33" s="123" t="s">
        <v>29</v>
      </c>
      <c r="C33" s="29"/>
      <c r="D33" s="123" t="s">
        <v>30</v>
      </c>
      <c r="E33" s="29"/>
      <c r="F33" s="123" t="s">
        <v>50</v>
      </c>
      <c r="G33" s="24"/>
      <c r="H33" s="29"/>
    </row>
    <row r="34" ht="15.75" customHeight="1">
      <c r="A34" s="30">
        <v>7.0</v>
      </c>
      <c r="B34" s="28"/>
      <c r="C34" s="29"/>
      <c r="D34" s="28"/>
      <c r="E34" s="29"/>
      <c r="F34" s="28"/>
      <c r="G34" s="24"/>
      <c r="H34" s="29"/>
    </row>
    <row r="35" ht="15.75" customHeight="1"/>
    <row r="36" ht="15.75" customHeight="1">
      <c r="A36" s="118" t="s">
        <v>254</v>
      </c>
    </row>
    <row r="37" ht="15.75" customHeight="1">
      <c r="A37" s="6"/>
      <c r="B37" s="6"/>
      <c r="C37" s="6"/>
      <c r="D37" s="6"/>
      <c r="E37" s="6"/>
      <c r="F37" s="6"/>
      <c r="G37" s="6"/>
      <c r="H37" s="6"/>
    </row>
    <row r="38">
      <c r="A38" s="119" t="s">
        <v>255</v>
      </c>
      <c r="B38" s="119" t="s">
        <v>56</v>
      </c>
      <c r="C38" s="124" t="s">
        <v>256</v>
      </c>
      <c r="D38" s="126" t="s">
        <v>257</v>
      </c>
      <c r="E38" s="24"/>
      <c r="F38" s="24"/>
      <c r="G38" s="24"/>
      <c r="H38" s="29"/>
      <c r="I38" s="127" t="s">
        <v>103</v>
      </c>
    </row>
    <row r="39" ht="15.75" customHeight="1">
      <c r="A39" s="30" t="s">
        <v>258</v>
      </c>
      <c r="B39" s="30" t="s">
        <v>259</v>
      </c>
      <c r="C39" s="30">
        <v>30.0</v>
      </c>
      <c r="D39" s="72">
        <v>30.0</v>
      </c>
      <c r="E39" s="24"/>
      <c r="F39" s="24"/>
      <c r="G39" s="24"/>
      <c r="H39" s="29"/>
      <c r="I39" s="30" t="str">
        <f t="shared" ref="I39:I42" si="1">IF(D39&lt;=C39,"Correcto", "Corregir")</f>
        <v>Correcto</v>
      </c>
    </row>
    <row r="40" ht="15.75" customHeight="1">
      <c r="A40" s="30" t="s">
        <v>260</v>
      </c>
      <c r="B40" s="30" t="s">
        <v>259</v>
      </c>
      <c r="C40" s="30">
        <v>6.0</v>
      </c>
      <c r="D40" s="72">
        <v>6.0</v>
      </c>
      <c r="E40" s="24"/>
      <c r="F40" s="24"/>
      <c r="G40" s="24"/>
      <c r="H40" s="29"/>
      <c r="I40" s="30" t="str">
        <f t="shared" si="1"/>
        <v>Correcto</v>
      </c>
    </row>
    <row r="41" ht="15.75" customHeight="1">
      <c r="A41" s="30" t="s">
        <v>261</v>
      </c>
      <c r="B41" s="30" t="s">
        <v>262</v>
      </c>
      <c r="C41" s="30">
        <v>10.0</v>
      </c>
      <c r="D41" s="72">
        <v>5.0</v>
      </c>
      <c r="E41" s="24"/>
      <c r="F41" s="24"/>
      <c r="G41" s="24"/>
      <c r="H41" s="29"/>
      <c r="I41" s="30" t="str">
        <f t="shared" si="1"/>
        <v>Correcto</v>
      </c>
    </row>
    <row r="42" ht="15.75" customHeight="1">
      <c r="A42" s="30" t="s">
        <v>263</v>
      </c>
      <c r="B42" s="30" t="s">
        <v>259</v>
      </c>
      <c r="C42" s="30">
        <v>30.0</v>
      </c>
      <c r="D42" s="72">
        <v>30.0</v>
      </c>
      <c r="E42" s="24"/>
      <c r="F42" s="24"/>
      <c r="G42" s="24"/>
      <c r="H42" s="29"/>
      <c r="I42" s="30" t="str">
        <f t="shared" si="1"/>
        <v>Correcto</v>
      </c>
    </row>
    <row r="43" ht="15.75" customHeight="1"/>
    <row r="44" ht="15.75" customHeight="1">
      <c r="A44" s="112" t="s">
        <v>264</v>
      </c>
      <c r="G44" s="84" t="s">
        <v>36</v>
      </c>
      <c r="H44" s="113">
        <f>B50</f>
        <v>35</v>
      </c>
    </row>
    <row r="45" ht="15.75" customHeight="1">
      <c r="G45" s="45" t="s">
        <v>265</v>
      </c>
    </row>
    <row r="46" ht="15.75" customHeight="1">
      <c r="A46" s="45" t="s">
        <v>266</v>
      </c>
    </row>
    <row r="47">
      <c r="A47" s="58" t="s">
        <v>267</v>
      </c>
      <c r="B47" s="86" t="s">
        <v>26</v>
      </c>
      <c r="C47" s="24"/>
      <c r="D47" s="24"/>
      <c r="E47" s="24"/>
      <c r="F47" s="24"/>
      <c r="G47" s="24"/>
      <c r="H47" s="29"/>
    </row>
    <row r="48" ht="15.75" customHeight="1">
      <c r="A48" s="58" t="s">
        <v>8</v>
      </c>
      <c r="B48" s="72" t="s">
        <v>269</v>
      </c>
      <c r="C48" s="24"/>
      <c r="D48" s="24"/>
      <c r="E48" s="24"/>
      <c r="F48" s="24"/>
      <c r="G48" s="24"/>
      <c r="H48" s="29"/>
    </row>
    <row r="49" ht="15.75" customHeight="1">
      <c r="A49" s="58" t="s">
        <v>229</v>
      </c>
      <c r="B49" s="128">
        <v>0.0</v>
      </c>
      <c r="C49" s="24"/>
      <c r="D49" s="24"/>
      <c r="E49" s="24"/>
      <c r="F49" s="24"/>
      <c r="G49" s="24"/>
      <c r="H49" s="29"/>
    </row>
    <row r="50" ht="15.75" customHeight="1">
      <c r="A50" s="58" t="s">
        <v>36</v>
      </c>
      <c r="B50" s="72">
        <v>35.0</v>
      </c>
      <c r="C50" s="24"/>
      <c r="D50" s="24"/>
      <c r="E50" s="24"/>
      <c r="F50" s="24"/>
      <c r="G50" s="24"/>
      <c r="H50" s="29"/>
    </row>
    <row r="51" ht="15.75" customHeight="1">
      <c r="A51" s="129" t="s">
        <v>270</v>
      </c>
      <c r="B51" s="6"/>
      <c r="C51" s="6"/>
      <c r="D51" s="6"/>
      <c r="E51" s="6"/>
      <c r="F51" s="6"/>
      <c r="G51" s="6"/>
      <c r="H51" s="6"/>
    </row>
    <row r="52" ht="15.75" customHeight="1">
      <c r="A52" s="114" t="s">
        <v>271</v>
      </c>
      <c r="B52" s="24"/>
      <c r="C52" s="24"/>
      <c r="D52" s="24"/>
      <c r="E52" s="24"/>
      <c r="F52" s="24"/>
      <c r="G52" s="24"/>
      <c r="H52" s="29"/>
    </row>
    <row r="53" ht="15.75" customHeight="1">
      <c r="A53" s="130"/>
      <c r="B53" s="100"/>
      <c r="C53" s="100"/>
      <c r="D53" s="100"/>
      <c r="E53" s="100"/>
      <c r="F53" s="100"/>
      <c r="G53" s="100"/>
      <c r="H53" s="101"/>
    </row>
    <row r="54" ht="15.75" customHeight="1">
      <c r="A54" s="131"/>
      <c r="H54" s="132"/>
    </row>
    <row r="55" ht="15.75" customHeight="1">
      <c r="A55" s="102"/>
      <c r="B55" s="103"/>
      <c r="C55" s="103"/>
      <c r="D55" s="103"/>
      <c r="E55" s="103"/>
      <c r="F55" s="103"/>
      <c r="G55" s="103"/>
      <c r="H55" s="104"/>
    </row>
    <row r="56" ht="15.75" customHeight="1"/>
    <row r="57" ht="15.75" customHeight="1">
      <c r="A57" s="45" t="s">
        <v>272</v>
      </c>
    </row>
    <row r="58">
      <c r="A58" s="58" t="s">
        <v>267</v>
      </c>
      <c r="B58" s="28"/>
      <c r="C58" s="24"/>
      <c r="D58" s="24"/>
      <c r="E58" s="24"/>
      <c r="F58" s="24"/>
      <c r="G58" s="24"/>
      <c r="H58" s="29"/>
    </row>
    <row r="59" ht="15.75" customHeight="1">
      <c r="A59" s="58" t="s">
        <v>8</v>
      </c>
      <c r="B59" s="28"/>
      <c r="C59" s="24"/>
      <c r="D59" s="24"/>
      <c r="E59" s="24"/>
      <c r="F59" s="24"/>
      <c r="G59" s="24"/>
      <c r="H59" s="29"/>
    </row>
    <row r="60" ht="15.75" customHeight="1">
      <c r="A60" s="58" t="s">
        <v>229</v>
      </c>
      <c r="B60" s="128"/>
      <c r="C60" s="24"/>
      <c r="D60" s="24"/>
      <c r="E60" s="24"/>
      <c r="F60" s="24"/>
      <c r="G60" s="24"/>
      <c r="H60" s="29"/>
    </row>
    <row r="61" ht="15.75" customHeight="1">
      <c r="A61" s="58" t="s">
        <v>36</v>
      </c>
      <c r="B61" s="128"/>
      <c r="C61" s="24"/>
      <c r="D61" s="24"/>
      <c r="E61" s="24"/>
      <c r="F61" s="24"/>
      <c r="G61" s="24"/>
      <c r="H61" s="29"/>
    </row>
    <row r="62" ht="15.75" customHeight="1">
      <c r="A62" s="133" t="s">
        <v>273</v>
      </c>
      <c r="B62" s="6"/>
      <c r="C62" s="6"/>
      <c r="D62" s="6"/>
      <c r="E62" s="6"/>
      <c r="F62" s="6"/>
      <c r="G62" s="6"/>
      <c r="H62" s="6"/>
    </row>
    <row r="63" ht="15.75" customHeight="1">
      <c r="A63" s="114" t="s">
        <v>271</v>
      </c>
      <c r="B63" s="24"/>
      <c r="C63" s="24"/>
      <c r="D63" s="24"/>
      <c r="E63" s="24"/>
      <c r="F63" s="24"/>
      <c r="G63" s="24"/>
      <c r="H63" s="29"/>
    </row>
    <row r="64" ht="15.75" customHeight="1">
      <c r="A64" s="130"/>
      <c r="B64" s="100"/>
      <c r="C64" s="100"/>
      <c r="D64" s="100"/>
      <c r="E64" s="100"/>
      <c r="F64" s="100"/>
      <c r="G64" s="100"/>
      <c r="H64" s="101"/>
    </row>
    <row r="65" ht="15.75" customHeight="1">
      <c r="A65" s="131"/>
      <c r="H65" s="132"/>
    </row>
    <row r="66" ht="15.75" customHeight="1">
      <c r="A66" s="102"/>
      <c r="B66" s="103"/>
      <c r="C66" s="103"/>
      <c r="D66" s="103"/>
      <c r="E66" s="103"/>
      <c r="F66" s="103"/>
      <c r="G66" s="103"/>
      <c r="H66" s="104"/>
    </row>
    <row r="67" ht="15.75" customHeight="1"/>
    <row r="68" ht="15.75" customHeight="1">
      <c r="A68" s="112" t="s">
        <v>274</v>
      </c>
      <c r="G68" s="84" t="s">
        <v>36</v>
      </c>
      <c r="H68" s="113">
        <v>10.0</v>
      </c>
    </row>
    <row r="69" ht="15.75" customHeight="1">
      <c r="G69" s="45" t="s">
        <v>275</v>
      </c>
    </row>
    <row r="70" ht="15.75" customHeight="1">
      <c r="A70" s="58" t="s">
        <v>36</v>
      </c>
      <c r="B70" s="134">
        <v>5.0</v>
      </c>
      <c r="C70" s="24"/>
      <c r="D70" s="24"/>
      <c r="E70" s="24"/>
      <c r="F70" s="24"/>
      <c r="G70" s="24"/>
      <c r="H70" s="29"/>
    </row>
    <row r="71" ht="15.75" customHeight="1">
      <c r="A71" s="126" t="s">
        <v>276</v>
      </c>
      <c r="B71" s="24"/>
      <c r="C71" s="24"/>
      <c r="D71" s="24"/>
      <c r="E71" s="24"/>
      <c r="F71" s="24"/>
      <c r="G71" s="24"/>
      <c r="H71" s="29"/>
    </row>
    <row r="72" ht="15.75" customHeight="1">
      <c r="A72" s="130"/>
      <c r="B72" s="100"/>
      <c r="C72" s="100"/>
      <c r="D72" s="100"/>
      <c r="E72" s="100"/>
      <c r="F72" s="100"/>
      <c r="G72" s="100"/>
      <c r="H72" s="101"/>
    </row>
    <row r="73" ht="15.75" customHeight="1">
      <c r="A73" s="102"/>
      <c r="B73" s="103"/>
      <c r="C73" s="103"/>
      <c r="D73" s="103"/>
      <c r="E73" s="103"/>
      <c r="F73" s="103"/>
      <c r="G73" s="103"/>
      <c r="H73" s="104"/>
    </row>
    <row r="74" ht="15.75" customHeight="1">
      <c r="A74" s="45" t="s">
        <v>277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23:B24 B47">
      <formula1>#REF!</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228</v>
      </c>
    </row>
    <row r="3" ht="15.75" customHeight="1"/>
    <row r="4" ht="15.75" customHeight="1">
      <c r="B4" s="18" t="s">
        <v>1</v>
      </c>
      <c r="C4" s="110" t="str">
        <f>'Diseño'!C4</f>
        <v>796 - Lenguajes Formales y de Programación</v>
      </c>
      <c r="D4" s="24"/>
      <c r="E4" s="24"/>
      <c r="F4" s="24"/>
      <c r="G4" s="29"/>
    </row>
    <row r="5" ht="15.75" customHeight="1">
      <c r="B5" s="30" t="s">
        <v>24</v>
      </c>
      <c r="C5" s="28">
        <v>3.0</v>
      </c>
      <c r="D5" s="24"/>
      <c r="E5" s="24"/>
      <c r="F5" s="24"/>
      <c r="G5" s="29"/>
    </row>
    <row r="6" ht="15.75" customHeight="1">
      <c r="B6" s="89" t="s">
        <v>27</v>
      </c>
      <c r="C6" s="28">
        <f>H10+H21+H44+H68</f>
        <v>105</v>
      </c>
      <c r="D6" s="24"/>
      <c r="E6" s="24"/>
      <c r="F6" s="24"/>
      <c r="G6" s="29"/>
      <c r="I6" s="6"/>
    </row>
    <row r="7" ht="15.75" customHeight="1">
      <c r="B7" s="89" t="s">
        <v>229</v>
      </c>
      <c r="C7" s="28">
        <f>B49+B60</f>
        <v>0</v>
      </c>
      <c r="D7" s="24"/>
      <c r="E7" s="24"/>
      <c r="F7" s="24"/>
      <c r="G7" s="29"/>
    </row>
    <row r="8" ht="15.75" customHeight="1">
      <c r="B8" s="89" t="s">
        <v>230</v>
      </c>
      <c r="C8" s="111" t="str">
        <f>IF(H44&lt;=0, "❌ ERROR: La Actividad 1 debe tener un tiempo mayor a 0.", IF(H21&gt;60, "❌ ERROR: El 'Área de Conocimiento' no puede exceder los 60 min.", IF((H10+H21+H44)&lt;100, "❌ ERROR: El tiempo total debe ser de al menos 100 min.", "✅ VALIDACIÓN CORRECTA")))</f>
        <v>✅ VALIDACIÓN CORRECTA</v>
      </c>
      <c r="D8" s="24"/>
      <c r="E8" s="24"/>
      <c r="F8" s="24"/>
      <c r="G8" s="29"/>
      <c r="I8" s="6"/>
      <c r="J8" s="6"/>
      <c r="K8" s="6"/>
    </row>
    <row r="9" ht="15.75" customHeight="1"/>
    <row r="10" ht="15.75" customHeight="1">
      <c r="A10" s="112" t="s">
        <v>231</v>
      </c>
      <c r="G10" s="84" t="s">
        <v>36</v>
      </c>
      <c r="H10" s="113">
        <v>5.0</v>
      </c>
    </row>
    <row r="11" ht="15.75" customHeight="1">
      <c r="G11" s="45" t="s">
        <v>232</v>
      </c>
    </row>
    <row r="12" ht="15.75" customHeight="1">
      <c r="A12" s="58" t="s">
        <v>233</v>
      </c>
      <c r="B12" s="72" t="s">
        <v>237</v>
      </c>
      <c r="C12" s="24"/>
      <c r="D12" s="24"/>
      <c r="E12" s="24"/>
      <c r="F12" s="24"/>
      <c r="G12" s="24"/>
      <c r="H12" s="29"/>
    </row>
    <row r="13" ht="15.75" customHeight="1">
      <c r="A13" s="68" t="s">
        <v>36</v>
      </c>
      <c r="B13" s="72">
        <v>5.0</v>
      </c>
      <c r="C13" s="24"/>
      <c r="D13" s="24"/>
      <c r="E13" s="24"/>
      <c r="F13" s="24"/>
      <c r="G13" s="24"/>
      <c r="H13" s="29"/>
    </row>
    <row r="14" ht="15.75" customHeight="1">
      <c r="A14" s="114" t="s">
        <v>235</v>
      </c>
      <c r="B14" s="24"/>
      <c r="C14" s="24"/>
      <c r="D14" s="24"/>
      <c r="E14" s="24"/>
      <c r="F14" s="24"/>
      <c r="G14" s="24"/>
      <c r="H14" s="29"/>
    </row>
    <row r="15" ht="15.75" customHeight="1">
      <c r="A15" s="116" t="s">
        <v>240</v>
      </c>
      <c r="B15" s="100"/>
      <c r="C15" s="100"/>
      <c r="D15" s="100"/>
      <c r="E15" s="100"/>
      <c r="F15" s="100"/>
      <c r="G15" s="100"/>
      <c r="H15" s="101"/>
    </row>
    <row r="16" ht="15.75" customHeight="1">
      <c r="A16" s="102"/>
      <c r="B16" s="103"/>
      <c r="C16" s="103"/>
      <c r="D16" s="103"/>
      <c r="E16" s="103"/>
      <c r="F16" s="103"/>
      <c r="G16" s="103"/>
      <c r="H16" s="104"/>
    </row>
    <row r="17" ht="15.75" customHeight="1">
      <c r="A17" s="114" t="s">
        <v>238</v>
      </c>
      <c r="B17" s="24"/>
      <c r="C17" s="24"/>
      <c r="D17" s="24"/>
      <c r="E17" s="24"/>
      <c r="F17" s="24"/>
      <c r="G17" s="24"/>
      <c r="H17" s="29"/>
    </row>
    <row r="18" ht="15.75" customHeight="1">
      <c r="A18" s="117" t="s">
        <v>242</v>
      </c>
      <c r="B18" s="100"/>
      <c r="C18" s="100"/>
      <c r="D18" s="100"/>
      <c r="E18" s="100"/>
      <c r="F18" s="100"/>
      <c r="G18" s="100"/>
      <c r="H18" s="101"/>
    </row>
    <row r="19" ht="38.25" customHeight="1">
      <c r="A19" s="102"/>
      <c r="B19" s="103"/>
      <c r="C19" s="103"/>
      <c r="D19" s="103"/>
      <c r="E19" s="103"/>
      <c r="F19" s="103"/>
      <c r="G19" s="103"/>
      <c r="H19" s="104"/>
    </row>
    <row r="20" ht="15.75" customHeight="1"/>
    <row r="21" ht="15.75" customHeight="1">
      <c r="A21" s="112" t="s">
        <v>241</v>
      </c>
      <c r="G21" s="84" t="s">
        <v>36</v>
      </c>
      <c r="H21" s="113">
        <v>60.0</v>
      </c>
      <c r="I21" s="6"/>
    </row>
    <row r="22" ht="15.75" customHeight="1">
      <c r="G22" s="45" t="s">
        <v>243</v>
      </c>
    </row>
    <row r="23" ht="15.75" customHeight="1">
      <c r="A23" s="58" t="s">
        <v>244</v>
      </c>
      <c r="B23" s="28"/>
      <c r="C23" s="24"/>
      <c r="D23" s="24"/>
      <c r="E23" s="24"/>
      <c r="F23" s="24"/>
      <c r="G23" s="24"/>
      <c r="H23" s="29"/>
    </row>
    <row r="24" ht="15.75" customHeight="1">
      <c r="A24" s="58" t="s">
        <v>244</v>
      </c>
      <c r="B24" s="28"/>
      <c r="C24" s="24"/>
      <c r="D24" s="24"/>
      <c r="E24" s="24"/>
      <c r="F24" s="24"/>
      <c r="G24" s="24"/>
      <c r="H24" s="29"/>
    </row>
    <row r="25" ht="15.75" customHeight="1"/>
    <row r="26" ht="15.75" customHeight="1">
      <c r="A26" s="118" t="s">
        <v>246</v>
      </c>
      <c r="B26" s="6"/>
      <c r="C26" s="6"/>
      <c r="D26" s="6"/>
    </row>
    <row r="27" ht="15.75" customHeight="1">
      <c r="A27" s="119" t="s">
        <v>17</v>
      </c>
      <c r="B27" s="120" t="s">
        <v>247</v>
      </c>
      <c r="C27" s="29"/>
      <c r="D27" s="120" t="s">
        <v>248</v>
      </c>
      <c r="E27" s="29"/>
      <c r="F27" s="120" t="s">
        <v>249</v>
      </c>
      <c r="G27" s="24"/>
      <c r="H27" s="29"/>
    </row>
    <row r="28" ht="15.75" customHeight="1">
      <c r="A28" s="30">
        <v>1.0</v>
      </c>
      <c r="B28" s="28" t="str">
        <f>IFERROR(__xludf.DUMMYFUNCTION("FILTER('Diseño'!D:D,'Diseño'!H:H=$C$5)"),"Lenguajes de Programacion")</f>
        <v>Lenguajes de Programacion</v>
      </c>
      <c r="C28" s="29"/>
      <c r="D28" s="28" t="str">
        <f>IFERROR(__xludf.DUMMYFUNCTION("FILTER('Diseño'!E:E,'Diseño'!H:H=$C$5)"),"Buenas Practicas y funciones en Programacion")</f>
        <v>Buenas Practicas y funciones en Programacion</v>
      </c>
      <c r="E28" s="29"/>
      <c r="F28" s="28" t="str">
        <f>IFERROR(__xludf.DUMMYFUNCTION("FILTER('Diseño'!F:F,'Diseño'!H:H=$C$5)"),"Convenciones de nombres y estilo de código")</f>
        <v>Convenciones de nombres y estilo de código</v>
      </c>
      <c r="G28" s="24"/>
      <c r="H28" s="29"/>
    </row>
    <row r="29" ht="15.75" customHeight="1">
      <c r="A29" s="30">
        <v>2.0</v>
      </c>
      <c r="B29" s="28" t="str">
        <f>IFERROR(__xludf.DUMMYFUNCTION("""COMPUTED_VALUE"""),"Lenguajes de Programacion")</f>
        <v>Lenguajes de Programacion</v>
      </c>
      <c r="C29" s="29"/>
      <c r="D29" s="28" t="str">
        <f>IFERROR(__xludf.DUMMYFUNCTION("""COMPUTED_VALUE"""),"Buenas Practicas y funciones en Programacion")</f>
        <v>Buenas Practicas y funciones en Programacion</v>
      </c>
      <c r="E29" s="29"/>
      <c r="F29" s="28" t="str">
        <f>IFERROR(__xludf.DUMMYFUNCTION("""COMPUTED_VALUE"""),"Gestión de memoria y optimización")</f>
        <v>Gestión de memoria y optimización</v>
      </c>
      <c r="G29" s="24"/>
      <c r="H29" s="29"/>
    </row>
    <row r="30" ht="15.75" customHeight="1">
      <c r="A30" s="30">
        <v>3.0</v>
      </c>
      <c r="B30" s="28" t="str">
        <f>IFERROR(__xludf.DUMMYFUNCTION("""COMPUTED_VALUE"""),"Lenguajes de Programacion")</f>
        <v>Lenguajes de Programacion</v>
      </c>
      <c r="C30" s="29"/>
      <c r="D30" s="28" t="str">
        <f>IFERROR(__xludf.DUMMYFUNCTION("""COMPUTED_VALUE"""),"Buenas Practicas y funciones en Programacion")</f>
        <v>Buenas Practicas y funciones en Programacion</v>
      </c>
      <c r="E30" s="29"/>
      <c r="F30" s="28" t="str">
        <f>IFERROR(__xludf.DUMMYFUNCTION("""COMPUTED_VALUE"""),"Definición y uso de métodos y funciones")</f>
        <v>Definición y uso de métodos y funciones</v>
      </c>
      <c r="G30" s="24"/>
      <c r="H30" s="29"/>
    </row>
    <row r="31" ht="15.75" customHeight="1">
      <c r="A31" s="30">
        <v>4.0</v>
      </c>
      <c r="B31" s="28" t="str">
        <f>IFERROR(__xludf.DUMMYFUNCTION("""COMPUTED_VALUE"""),"Lenguajes de Programacion")</f>
        <v>Lenguajes de Programacion</v>
      </c>
      <c r="C31" s="29"/>
      <c r="D31" s="28" t="str">
        <f>IFERROR(__xludf.DUMMYFUNCTION("""COMPUTED_VALUE"""),"Buenas Practicas y funciones en Programacion")</f>
        <v>Buenas Practicas y funciones en Programacion</v>
      </c>
      <c r="E31" s="29"/>
      <c r="F31" s="28" t="str">
        <f>IFERROR(__xludf.DUMMYFUNCTION("""COMPUTED_VALUE"""),"Creación y uso de clases")</f>
        <v>Creación y uso de clases</v>
      </c>
      <c r="G31" s="24"/>
      <c r="H31" s="29"/>
    </row>
    <row r="32" ht="15.75" customHeight="1">
      <c r="A32" s="30">
        <v>5.0</v>
      </c>
      <c r="B32" s="28" t="str">
        <f>IFERROR(__xludf.DUMMYFUNCTION("""COMPUTED_VALUE"""),"Lenguajes de Programacion")</f>
        <v>Lenguajes de Programacion</v>
      </c>
      <c r="C32" s="29"/>
      <c r="D32" s="28" t="str">
        <f>IFERROR(__xludf.DUMMYFUNCTION("""COMPUTED_VALUE"""),"Buenas Practicas y funciones en Programacion")</f>
        <v>Buenas Practicas y funciones en Programacion</v>
      </c>
      <c r="E32" s="29"/>
      <c r="F32" s="28" t="str">
        <f>IFERROR(__xludf.DUMMYFUNCTION("""COMPUTED_VALUE"""),"Diferencias entre métodos y funciones")</f>
        <v>Diferencias entre métodos y funciones</v>
      </c>
      <c r="G32" s="24"/>
      <c r="H32" s="29"/>
    </row>
    <row r="33" ht="15.75" customHeight="1">
      <c r="A33" s="30">
        <v>6.0</v>
      </c>
      <c r="B33" s="28"/>
      <c r="C33" s="29"/>
      <c r="D33" s="28"/>
      <c r="E33" s="29"/>
      <c r="F33" s="28"/>
      <c r="G33" s="24"/>
      <c r="H33" s="29"/>
    </row>
    <row r="34" ht="15.75" customHeight="1">
      <c r="A34" s="30">
        <v>7.0</v>
      </c>
      <c r="B34" s="28"/>
      <c r="C34" s="29"/>
      <c r="D34" s="28"/>
      <c r="E34" s="29"/>
      <c r="F34" s="28"/>
      <c r="G34" s="24"/>
      <c r="H34" s="29"/>
    </row>
    <row r="35" ht="15.75" customHeight="1"/>
    <row r="36" ht="15.75" customHeight="1">
      <c r="A36" s="118" t="s">
        <v>254</v>
      </c>
    </row>
    <row r="37" ht="15.75" customHeight="1">
      <c r="A37" s="6"/>
      <c r="B37" s="6"/>
      <c r="C37" s="6"/>
      <c r="D37" s="6"/>
      <c r="E37" s="6"/>
      <c r="F37" s="6"/>
      <c r="G37" s="6"/>
      <c r="H37" s="6"/>
    </row>
    <row r="38">
      <c r="A38" s="119" t="s">
        <v>255</v>
      </c>
      <c r="B38" s="119" t="s">
        <v>56</v>
      </c>
      <c r="C38" s="124" t="s">
        <v>256</v>
      </c>
      <c r="D38" s="126" t="s">
        <v>257</v>
      </c>
      <c r="E38" s="24"/>
      <c r="F38" s="24"/>
      <c r="G38" s="24"/>
      <c r="H38" s="29"/>
      <c r="I38" s="127" t="s">
        <v>103</v>
      </c>
    </row>
    <row r="39" ht="15.75" customHeight="1">
      <c r="A39" s="30" t="s">
        <v>258</v>
      </c>
      <c r="B39" s="30" t="s">
        <v>259</v>
      </c>
      <c r="C39" s="30">
        <v>30.0</v>
      </c>
      <c r="D39" s="28"/>
      <c r="E39" s="24"/>
      <c r="F39" s="24"/>
      <c r="G39" s="24"/>
      <c r="H39" s="29"/>
      <c r="I39" s="30" t="str">
        <f t="shared" ref="I39:I42" si="1">IF(D39&lt;=C39,"Correcto", "Corregir")</f>
        <v>Correcto</v>
      </c>
    </row>
    <row r="40" ht="15.75" customHeight="1">
      <c r="A40" s="30" t="s">
        <v>260</v>
      </c>
      <c r="B40" s="30" t="s">
        <v>259</v>
      </c>
      <c r="C40" s="30">
        <v>6.0</v>
      </c>
      <c r="D40" s="28"/>
      <c r="E40" s="24"/>
      <c r="F40" s="24"/>
      <c r="G40" s="24"/>
      <c r="H40" s="29"/>
      <c r="I40" s="30" t="str">
        <f t="shared" si="1"/>
        <v>Correcto</v>
      </c>
    </row>
    <row r="41" ht="15.75" customHeight="1">
      <c r="A41" s="30" t="s">
        <v>261</v>
      </c>
      <c r="B41" s="30" t="s">
        <v>262</v>
      </c>
      <c r="C41" s="30">
        <v>10.0</v>
      </c>
      <c r="D41" s="28"/>
      <c r="E41" s="24"/>
      <c r="F41" s="24"/>
      <c r="G41" s="24"/>
      <c r="H41" s="29"/>
      <c r="I41" s="30" t="str">
        <f t="shared" si="1"/>
        <v>Correcto</v>
      </c>
    </row>
    <row r="42" ht="15.75" customHeight="1">
      <c r="A42" s="30" t="s">
        <v>263</v>
      </c>
      <c r="B42" s="30" t="s">
        <v>259</v>
      </c>
      <c r="C42" s="30">
        <v>30.0</v>
      </c>
      <c r="D42" s="28"/>
      <c r="E42" s="24"/>
      <c r="F42" s="24"/>
      <c r="G42" s="24"/>
      <c r="H42" s="29"/>
      <c r="I42" s="30" t="str">
        <f t="shared" si="1"/>
        <v>Correcto</v>
      </c>
    </row>
    <row r="43" ht="15.75" customHeight="1"/>
    <row r="44" ht="15.75" customHeight="1">
      <c r="A44" s="112" t="s">
        <v>264</v>
      </c>
      <c r="G44" s="84" t="s">
        <v>36</v>
      </c>
      <c r="H44" s="125">
        <f>B50</f>
        <v>35</v>
      </c>
    </row>
    <row r="45" ht="15.75" customHeight="1">
      <c r="G45" s="45" t="s">
        <v>265</v>
      </c>
    </row>
    <row r="46" ht="15.75" customHeight="1">
      <c r="A46" s="45" t="s">
        <v>266</v>
      </c>
    </row>
    <row r="47">
      <c r="A47" s="58" t="s">
        <v>267</v>
      </c>
      <c r="B47" s="28"/>
      <c r="C47" s="24"/>
      <c r="D47" s="24"/>
      <c r="E47" s="24"/>
      <c r="F47" s="24"/>
      <c r="G47" s="24"/>
      <c r="H47" s="29"/>
    </row>
    <row r="48" ht="15.75" customHeight="1">
      <c r="A48" s="58" t="s">
        <v>8</v>
      </c>
      <c r="B48" s="28" t="s">
        <v>268</v>
      </c>
      <c r="C48" s="24"/>
      <c r="D48" s="24"/>
      <c r="E48" s="24"/>
      <c r="F48" s="24"/>
      <c r="G48" s="24"/>
      <c r="H48" s="29"/>
    </row>
    <row r="49" ht="15.75" customHeight="1">
      <c r="A49" s="58" t="s">
        <v>229</v>
      </c>
      <c r="B49" s="128">
        <v>0.0</v>
      </c>
      <c r="C49" s="24"/>
      <c r="D49" s="24"/>
      <c r="E49" s="24"/>
      <c r="F49" s="24"/>
      <c r="G49" s="24"/>
      <c r="H49" s="29"/>
    </row>
    <row r="50" ht="15.75" customHeight="1">
      <c r="A50" s="58" t="s">
        <v>36</v>
      </c>
      <c r="B50" s="72">
        <v>35.0</v>
      </c>
      <c r="C50" s="24"/>
      <c r="D50" s="24"/>
      <c r="E50" s="24"/>
      <c r="F50" s="24"/>
      <c r="G50" s="24"/>
      <c r="H50" s="29"/>
    </row>
    <row r="51" ht="15.75" customHeight="1">
      <c r="A51" s="129" t="s">
        <v>270</v>
      </c>
      <c r="B51" s="6"/>
      <c r="C51" s="6"/>
      <c r="D51" s="6"/>
      <c r="E51" s="6"/>
      <c r="F51" s="6"/>
      <c r="G51" s="6"/>
      <c r="H51" s="6"/>
    </row>
    <row r="52" ht="15.75" customHeight="1">
      <c r="A52" s="114" t="s">
        <v>271</v>
      </c>
      <c r="B52" s="24"/>
      <c r="C52" s="24"/>
      <c r="D52" s="24"/>
      <c r="E52" s="24"/>
      <c r="F52" s="24"/>
      <c r="G52" s="24"/>
      <c r="H52" s="29"/>
    </row>
    <row r="53" ht="15.75" customHeight="1">
      <c r="A53" s="130"/>
      <c r="B53" s="100"/>
      <c r="C53" s="100"/>
      <c r="D53" s="100"/>
      <c r="E53" s="100"/>
      <c r="F53" s="100"/>
      <c r="G53" s="100"/>
      <c r="H53" s="101"/>
    </row>
    <row r="54" ht="15.75" customHeight="1">
      <c r="A54" s="131"/>
      <c r="H54" s="132"/>
    </row>
    <row r="55" ht="15.75" customHeight="1">
      <c r="A55" s="102"/>
      <c r="B55" s="103"/>
      <c r="C55" s="103"/>
      <c r="D55" s="103"/>
      <c r="E55" s="103"/>
      <c r="F55" s="103"/>
      <c r="G55" s="103"/>
      <c r="H55" s="104"/>
    </row>
    <row r="56" ht="15.75" customHeight="1"/>
    <row r="57" ht="15.75" customHeight="1">
      <c r="A57" s="45" t="s">
        <v>272</v>
      </c>
    </row>
    <row r="58">
      <c r="A58" s="58" t="s">
        <v>267</v>
      </c>
      <c r="B58" s="28"/>
      <c r="C58" s="24"/>
      <c r="D58" s="24"/>
      <c r="E58" s="24"/>
      <c r="F58" s="24"/>
      <c r="G58" s="24"/>
      <c r="H58" s="29"/>
    </row>
    <row r="59" ht="15.75" customHeight="1">
      <c r="A59" s="58" t="s">
        <v>8</v>
      </c>
      <c r="B59" s="28"/>
      <c r="C59" s="24"/>
      <c r="D59" s="24"/>
      <c r="E59" s="24"/>
      <c r="F59" s="24"/>
      <c r="G59" s="24"/>
      <c r="H59" s="29"/>
    </row>
    <row r="60" ht="15.75" customHeight="1">
      <c r="A60" s="58" t="s">
        <v>229</v>
      </c>
      <c r="B60" s="128"/>
      <c r="C60" s="24"/>
      <c r="D60" s="24"/>
      <c r="E60" s="24"/>
      <c r="F60" s="24"/>
      <c r="G60" s="24"/>
      <c r="H60" s="29"/>
    </row>
    <row r="61" ht="15.75" customHeight="1">
      <c r="A61" s="58" t="s">
        <v>36</v>
      </c>
      <c r="B61" s="128"/>
      <c r="C61" s="24"/>
      <c r="D61" s="24"/>
      <c r="E61" s="24"/>
      <c r="F61" s="24"/>
      <c r="G61" s="24"/>
      <c r="H61" s="29"/>
    </row>
    <row r="62" ht="15.75" customHeight="1">
      <c r="A62" s="133" t="s">
        <v>273</v>
      </c>
      <c r="B62" s="6"/>
      <c r="C62" s="6"/>
      <c r="D62" s="6"/>
      <c r="E62" s="6"/>
      <c r="F62" s="6"/>
      <c r="G62" s="6"/>
      <c r="H62" s="6"/>
    </row>
    <row r="63" ht="15.75" customHeight="1">
      <c r="A63" s="114" t="s">
        <v>271</v>
      </c>
      <c r="B63" s="24"/>
      <c r="C63" s="24"/>
      <c r="D63" s="24"/>
      <c r="E63" s="24"/>
      <c r="F63" s="24"/>
      <c r="G63" s="24"/>
      <c r="H63" s="29"/>
    </row>
    <row r="64" ht="15.75" customHeight="1">
      <c r="A64" s="130"/>
      <c r="B64" s="100"/>
      <c r="C64" s="100"/>
      <c r="D64" s="100"/>
      <c r="E64" s="100"/>
      <c r="F64" s="100"/>
      <c r="G64" s="100"/>
      <c r="H64" s="101"/>
    </row>
    <row r="65" ht="15.75" customHeight="1">
      <c r="A65" s="131"/>
      <c r="H65" s="132"/>
    </row>
    <row r="66" ht="15.75" customHeight="1">
      <c r="A66" s="102"/>
      <c r="B66" s="103"/>
      <c r="C66" s="103"/>
      <c r="D66" s="103"/>
      <c r="E66" s="103"/>
      <c r="F66" s="103"/>
      <c r="G66" s="103"/>
      <c r="H66" s="104"/>
    </row>
    <row r="67" ht="15.75" customHeight="1"/>
    <row r="68" ht="15.75" customHeight="1">
      <c r="A68" s="112" t="s">
        <v>274</v>
      </c>
      <c r="G68" s="84" t="s">
        <v>36</v>
      </c>
      <c r="H68" s="125">
        <f>B70</f>
        <v>5</v>
      </c>
    </row>
    <row r="69" ht="15.75" customHeight="1">
      <c r="G69" s="45" t="s">
        <v>275</v>
      </c>
    </row>
    <row r="70" ht="15.75" customHeight="1">
      <c r="A70" s="58" t="s">
        <v>36</v>
      </c>
      <c r="B70" s="134">
        <v>5.0</v>
      </c>
      <c r="C70" s="24"/>
      <c r="D70" s="24"/>
      <c r="E70" s="24"/>
      <c r="F70" s="24"/>
      <c r="G70" s="24"/>
      <c r="H70" s="29"/>
    </row>
    <row r="71" ht="15.75" customHeight="1">
      <c r="A71" s="126" t="s">
        <v>276</v>
      </c>
      <c r="B71" s="24"/>
      <c r="C71" s="24"/>
      <c r="D71" s="24"/>
      <c r="E71" s="24"/>
      <c r="F71" s="24"/>
      <c r="G71" s="24"/>
      <c r="H71" s="29"/>
    </row>
    <row r="72" ht="15.75" customHeight="1">
      <c r="A72" s="130"/>
      <c r="B72" s="100"/>
      <c r="C72" s="100"/>
      <c r="D72" s="100"/>
      <c r="E72" s="100"/>
      <c r="F72" s="100"/>
      <c r="G72" s="100"/>
      <c r="H72" s="101"/>
    </row>
    <row r="73" ht="15.75" customHeight="1">
      <c r="A73" s="102"/>
      <c r="B73" s="103"/>
      <c r="C73" s="103"/>
      <c r="D73" s="103"/>
      <c r="E73" s="103"/>
      <c r="F73" s="103"/>
      <c r="G73" s="103"/>
      <c r="H73" s="104"/>
    </row>
    <row r="74" ht="15.75" customHeight="1">
      <c r="A74" s="45" t="s">
        <v>277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228</v>
      </c>
    </row>
    <row r="3" ht="15.75" customHeight="1"/>
    <row r="4" ht="15.75" customHeight="1">
      <c r="B4" s="18" t="s">
        <v>1</v>
      </c>
      <c r="C4" s="110" t="str">
        <f>'Diseño'!C4</f>
        <v>796 - Lenguajes Formales y de Programación</v>
      </c>
      <c r="D4" s="24"/>
      <c r="E4" s="24"/>
      <c r="F4" s="24"/>
      <c r="G4" s="29"/>
    </row>
    <row r="5" ht="15.75" customHeight="1">
      <c r="B5" s="30" t="s">
        <v>24</v>
      </c>
      <c r="C5" s="28">
        <v>4.0</v>
      </c>
      <c r="D5" s="24"/>
      <c r="E5" s="24"/>
      <c r="F5" s="24"/>
      <c r="G5" s="29"/>
    </row>
    <row r="6" ht="15.75" customHeight="1">
      <c r="B6" s="89" t="s">
        <v>27</v>
      </c>
      <c r="C6" s="72">
        <v>100.0</v>
      </c>
      <c r="D6" s="24"/>
      <c r="E6" s="24"/>
      <c r="F6" s="24"/>
      <c r="G6" s="29"/>
      <c r="I6" s="6"/>
    </row>
    <row r="7" ht="15.75" customHeight="1">
      <c r="B7" s="89" t="s">
        <v>229</v>
      </c>
      <c r="C7" s="72">
        <v>2.0</v>
      </c>
      <c r="D7" s="24"/>
      <c r="E7" s="24"/>
      <c r="F7" s="24"/>
      <c r="G7" s="29"/>
    </row>
    <row r="8" ht="15.75" customHeight="1">
      <c r="B8" s="89" t="s">
        <v>230</v>
      </c>
      <c r="C8" s="111" t="str">
        <f>IF(H44&lt;=0, "❌ ERROR: La Actividad 1 debe tener un tiempo mayor a 0.", IF(H21&gt;60, "❌ ERROR: El 'Área de Conocimiento' no puede exceder los 60 min.", IF((H10+H21+H44)&lt;100, "❌ ERROR: El tiempo total debe ser de al menos 100 min.", "✅ VALIDACIÓN CORRECTA")))</f>
        <v>✅ VALIDACIÓN CORRECTA</v>
      </c>
      <c r="D8" s="24"/>
      <c r="E8" s="24"/>
      <c r="F8" s="24"/>
      <c r="G8" s="29"/>
      <c r="I8" s="6"/>
      <c r="J8" s="6"/>
      <c r="K8" s="6"/>
    </row>
    <row r="9" ht="15.75" customHeight="1"/>
    <row r="10" ht="15.75" customHeight="1">
      <c r="A10" s="112" t="s">
        <v>231</v>
      </c>
      <c r="G10" s="84" t="s">
        <v>36</v>
      </c>
      <c r="H10" s="113">
        <v>2.0</v>
      </c>
    </row>
    <row r="11" ht="15.75" customHeight="1">
      <c r="G11" s="45" t="s">
        <v>232</v>
      </c>
    </row>
    <row r="12" ht="15.75" customHeight="1">
      <c r="A12" s="58" t="s">
        <v>233</v>
      </c>
      <c r="B12" s="82" t="s">
        <v>250</v>
      </c>
      <c r="C12" s="24"/>
      <c r="D12" s="24"/>
      <c r="E12" s="24"/>
      <c r="F12" s="24"/>
      <c r="G12" s="24"/>
      <c r="H12" s="29"/>
    </row>
    <row r="13" ht="15.75" customHeight="1">
      <c r="A13" s="68" t="s">
        <v>36</v>
      </c>
      <c r="B13" s="72" t="s">
        <v>251</v>
      </c>
      <c r="C13" s="24"/>
      <c r="D13" s="24"/>
      <c r="E13" s="24"/>
      <c r="F13" s="24"/>
      <c r="G13" s="24"/>
      <c r="H13" s="29"/>
    </row>
    <row r="14" ht="15.75" customHeight="1">
      <c r="A14" s="114" t="s">
        <v>235</v>
      </c>
      <c r="B14" s="24"/>
      <c r="C14" s="24"/>
      <c r="D14" s="24"/>
      <c r="E14" s="24"/>
      <c r="F14" s="24"/>
      <c r="G14" s="24"/>
      <c r="H14" s="29"/>
    </row>
    <row r="15" ht="15.75" customHeight="1">
      <c r="A15" s="122" t="s">
        <v>252</v>
      </c>
      <c r="B15" s="100"/>
      <c r="C15" s="100"/>
      <c r="D15" s="100"/>
      <c r="E15" s="100"/>
      <c r="F15" s="100"/>
      <c r="G15" s="100"/>
      <c r="H15" s="101"/>
    </row>
    <row r="16" ht="15.75" customHeight="1">
      <c r="A16" s="102"/>
      <c r="B16" s="103"/>
      <c r="C16" s="103"/>
      <c r="D16" s="103"/>
      <c r="E16" s="103"/>
      <c r="F16" s="103"/>
      <c r="G16" s="103"/>
      <c r="H16" s="104"/>
    </row>
    <row r="17" ht="15.75" customHeight="1">
      <c r="A17" s="114" t="s">
        <v>238</v>
      </c>
      <c r="B17" s="24"/>
      <c r="C17" s="24"/>
      <c r="D17" s="24"/>
      <c r="E17" s="24"/>
      <c r="F17" s="24"/>
      <c r="G17" s="24"/>
      <c r="H17" s="29"/>
    </row>
    <row r="18" ht="15.75" customHeight="1">
      <c r="A18" s="122" t="s">
        <v>253</v>
      </c>
      <c r="B18" s="100"/>
      <c r="C18" s="100"/>
      <c r="D18" s="100"/>
      <c r="E18" s="100"/>
      <c r="F18" s="100"/>
      <c r="G18" s="100"/>
      <c r="H18" s="101"/>
    </row>
    <row r="19" ht="15.75" customHeight="1">
      <c r="A19" s="102"/>
      <c r="B19" s="103"/>
      <c r="C19" s="103"/>
      <c r="D19" s="103"/>
      <c r="E19" s="103"/>
      <c r="F19" s="103"/>
      <c r="G19" s="103"/>
      <c r="H19" s="104"/>
    </row>
    <row r="20" ht="15.75" customHeight="1"/>
    <row r="21" ht="15.75" customHeight="1">
      <c r="A21" s="112" t="s">
        <v>241</v>
      </c>
      <c r="G21" s="84" t="s">
        <v>36</v>
      </c>
      <c r="H21" s="125">
        <f>SUM(D39:H42)</f>
        <v>56</v>
      </c>
      <c r="I21" s="6"/>
    </row>
    <row r="22" ht="15.75" customHeight="1">
      <c r="G22" s="45" t="s">
        <v>243</v>
      </c>
    </row>
    <row r="23" ht="15.75" customHeight="1">
      <c r="A23" s="58" t="s">
        <v>244</v>
      </c>
      <c r="B23" s="72" t="s">
        <v>66</v>
      </c>
      <c r="C23" s="24"/>
      <c r="D23" s="24"/>
      <c r="E23" s="24"/>
      <c r="F23" s="24"/>
      <c r="G23" s="24"/>
      <c r="H23" s="29"/>
    </row>
    <row r="24" ht="15.75" customHeight="1">
      <c r="A24" s="58" t="s">
        <v>244</v>
      </c>
      <c r="B24" s="72" t="s">
        <v>66</v>
      </c>
      <c r="C24" s="24"/>
      <c r="D24" s="24"/>
      <c r="E24" s="24"/>
      <c r="F24" s="24"/>
      <c r="G24" s="24"/>
      <c r="H24" s="29"/>
    </row>
    <row r="25" ht="15.75" customHeight="1"/>
    <row r="26" ht="15.75" customHeight="1">
      <c r="A26" s="118" t="s">
        <v>246</v>
      </c>
      <c r="B26" s="6"/>
      <c r="C26" s="6"/>
      <c r="D26" s="6"/>
    </row>
    <row r="27" ht="15.75" customHeight="1">
      <c r="A27" s="119" t="s">
        <v>17</v>
      </c>
      <c r="B27" s="120" t="s">
        <v>247</v>
      </c>
      <c r="C27" s="29"/>
      <c r="D27" s="120" t="s">
        <v>248</v>
      </c>
      <c r="E27" s="29"/>
      <c r="F27" s="120" t="s">
        <v>249</v>
      </c>
      <c r="G27" s="24"/>
      <c r="H27" s="29"/>
    </row>
    <row r="28" ht="15.75" customHeight="1">
      <c r="A28" s="30">
        <v>1.0</v>
      </c>
      <c r="B28" s="28" t="str">
        <f>IFERROR(__xludf.DUMMYFUNCTION("FILTER('Diseño'!D:D,'Diseño'!H:H=$C$5)"),"Lenguajes de Programacion")</f>
        <v>Lenguajes de Programacion</v>
      </c>
      <c r="C28" s="29"/>
      <c r="D28" s="28" t="str">
        <f>IFERROR(__xludf.DUMMYFUNCTION("FILTER('Diseño'!E:E,'Diseño'!H:H=$C$5)"),"Estructuras de Datos y Control en Programacion")</f>
        <v>Estructuras de Datos y Control en Programacion</v>
      </c>
      <c r="E28" s="29"/>
      <c r="F28" s="28" t="str">
        <f>IFERROR(__xludf.DUMMYFUNCTION("FILTER('Diseño'!F:F,'Diseño'!H:H=$C$5)"),"Arreglos")</f>
        <v>Arreglos</v>
      </c>
      <c r="G28" s="24"/>
      <c r="H28" s="29"/>
    </row>
    <row r="29" ht="15.75" customHeight="1">
      <c r="A29" s="30">
        <v>2.0</v>
      </c>
      <c r="B29" s="28" t="str">
        <f>IFERROR(__xludf.DUMMYFUNCTION("""COMPUTED_VALUE"""),"Lenguajes de Programacion")</f>
        <v>Lenguajes de Programacion</v>
      </c>
      <c r="C29" s="29"/>
      <c r="D29" s="28" t="str">
        <f>IFERROR(__xludf.DUMMYFUNCTION("""COMPUTED_VALUE"""),"Estructuras de Datos y Control en Programacion")</f>
        <v>Estructuras de Datos y Control en Programacion</v>
      </c>
      <c r="E29" s="29"/>
      <c r="F29" s="28" t="str">
        <f>IFERROR(__xludf.DUMMYFUNCTION("""COMPUTED_VALUE"""),"Diccionarios y estructuras de Datos")</f>
        <v>Diccionarios y estructuras de Datos</v>
      </c>
      <c r="G29" s="24"/>
      <c r="H29" s="29"/>
    </row>
    <row r="30" ht="15.75" customHeight="1">
      <c r="A30" s="30">
        <v>3.0</v>
      </c>
      <c r="B30" s="28" t="str">
        <f>IFERROR(__xludf.DUMMYFUNCTION("""COMPUTED_VALUE"""),"Lenguajes de Programacion")</f>
        <v>Lenguajes de Programacion</v>
      </c>
      <c r="C30" s="29"/>
      <c r="D30" s="28" t="str">
        <f>IFERROR(__xludf.DUMMYFUNCTION("""COMPUTED_VALUE"""),"Estructuras de Datos y Control en Programacion")</f>
        <v>Estructuras de Datos y Control en Programacion</v>
      </c>
      <c r="E30" s="29"/>
      <c r="F30" s="28" t="str">
        <f>IFERROR(__xludf.DUMMYFUNCTION("""COMPUTED_VALUE"""),"Iteracion ")</f>
        <v>Iteracion </v>
      </c>
      <c r="G30" s="24"/>
      <c r="H30" s="29"/>
    </row>
    <row r="31" ht="15.75" customHeight="1">
      <c r="A31" s="30">
        <v>4.0</v>
      </c>
      <c r="B31" s="28" t="str">
        <f>IFERROR(__xludf.DUMMYFUNCTION("""COMPUTED_VALUE"""),"Lenguajes de Programacion")</f>
        <v>Lenguajes de Programacion</v>
      </c>
      <c r="C31" s="29"/>
      <c r="D31" s="28" t="str">
        <f>IFERROR(__xludf.DUMMYFUNCTION("""COMPUTED_VALUE"""),"Estructuras de Datos y Control en Programacion")</f>
        <v>Estructuras de Datos y Control en Programacion</v>
      </c>
      <c r="E31" s="29"/>
      <c r="F31" s="28" t="str">
        <f>IFERROR(__xludf.DUMMYFUNCTION("""COMPUTED_VALUE"""),"Lectura de Archivos")</f>
        <v>Lectura de Archivos</v>
      </c>
      <c r="G31" s="24"/>
      <c r="H31" s="29"/>
    </row>
    <row r="32" ht="15.75" customHeight="1">
      <c r="A32" s="30">
        <v>5.0</v>
      </c>
      <c r="B32" s="28" t="str">
        <f>IFERROR(__xludf.DUMMYFUNCTION("""COMPUTED_VALUE"""),"Lenguajes de Programacion")</f>
        <v>Lenguajes de Programacion</v>
      </c>
      <c r="C32" s="29"/>
      <c r="D32" s="28" t="str">
        <f>IFERROR(__xludf.DUMMYFUNCTION("""COMPUTED_VALUE"""),"Estructuras de Datos y Control en Programacion")</f>
        <v>Estructuras de Datos y Control en Programacion</v>
      </c>
      <c r="E32" s="29"/>
      <c r="F32" s="28" t="str">
        <f>IFERROR(__xludf.DUMMYFUNCTION("""COMPUTED_VALUE"""),"Escritura de Archivos")</f>
        <v>Escritura de Archivos</v>
      </c>
      <c r="G32" s="24"/>
      <c r="H32" s="29"/>
    </row>
    <row r="33" ht="15.75" customHeight="1">
      <c r="A33" s="30">
        <v>6.0</v>
      </c>
      <c r="B33" s="28"/>
      <c r="C33" s="29"/>
      <c r="D33" s="28"/>
      <c r="E33" s="29"/>
      <c r="F33" s="28"/>
      <c r="G33" s="24"/>
      <c r="H33" s="29"/>
    </row>
    <row r="34" ht="15.75" customHeight="1">
      <c r="A34" s="30">
        <v>7.0</v>
      </c>
      <c r="B34" s="28"/>
      <c r="C34" s="29"/>
      <c r="D34" s="28"/>
      <c r="E34" s="29"/>
      <c r="F34" s="28"/>
      <c r="G34" s="24"/>
      <c r="H34" s="29"/>
    </row>
    <row r="35" ht="15.75" customHeight="1"/>
    <row r="36" ht="15.75" customHeight="1">
      <c r="A36" s="118" t="s">
        <v>254</v>
      </c>
    </row>
    <row r="37" ht="15.75" customHeight="1">
      <c r="A37" s="6"/>
      <c r="B37" s="6"/>
      <c r="C37" s="6"/>
      <c r="D37" s="6"/>
      <c r="E37" s="6"/>
      <c r="F37" s="6"/>
      <c r="G37" s="6"/>
      <c r="H37" s="6"/>
    </row>
    <row r="38">
      <c r="A38" s="119" t="s">
        <v>255</v>
      </c>
      <c r="B38" s="119" t="s">
        <v>56</v>
      </c>
      <c r="C38" s="124" t="s">
        <v>256</v>
      </c>
      <c r="D38" s="126" t="s">
        <v>257</v>
      </c>
      <c r="E38" s="24"/>
      <c r="F38" s="24"/>
      <c r="G38" s="24"/>
      <c r="H38" s="29"/>
      <c r="I38" s="127" t="s">
        <v>103</v>
      </c>
    </row>
    <row r="39" ht="15.75" customHeight="1">
      <c r="A39" s="30" t="s">
        <v>258</v>
      </c>
      <c r="B39" s="30" t="s">
        <v>259</v>
      </c>
      <c r="C39" s="30">
        <v>30.0</v>
      </c>
      <c r="D39" s="36">
        <v>30.0</v>
      </c>
      <c r="E39" s="24"/>
      <c r="F39" s="24"/>
      <c r="G39" s="24"/>
      <c r="H39" s="29"/>
      <c r="I39" s="30" t="str">
        <f t="shared" ref="I39:I42" si="1">IF(D39&lt;=C39,"Correcto", "Corregir")</f>
        <v>Correcto</v>
      </c>
    </row>
    <row r="40" ht="15.75" customHeight="1">
      <c r="A40" s="30" t="s">
        <v>260</v>
      </c>
      <c r="B40" s="30" t="s">
        <v>259</v>
      </c>
      <c r="C40" s="30">
        <v>6.0</v>
      </c>
      <c r="D40" s="36">
        <v>6.0</v>
      </c>
      <c r="E40" s="24"/>
      <c r="F40" s="24"/>
      <c r="G40" s="24"/>
      <c r="H40" s="29"/>
      <c r="I40" s="30" t="str">
        <f t="shared" si="1"/>
        <v>Correcto</v>
      </c>
    </row>
    <row r="41" ht="15.75" customHeight="1">
      <c r="A41" s="30" t="s">
        <v>261</v>
      </c>
      <c r="B41" s="30" t="s">
        <v>262</v>
      </c>
      <c r="C41" s="30">
        <v>10.0</v>
      </c>
      <c r="D41" s="36">
        <v>10.0</v>
      </c>
      <c r="E41" s="24"/>
      <c r="F41" s="24"/>
      <c r="G41" s="24"/>
      <c r="H41" s="29"/>
      <c r="I41" s="30" t="str">
        <f t="shared" si="1"/>
        <v>Correcto</v>
      </c>
    </row>
    <row r="42" ht="15.75" customHeight="1">
      <c r="A42" s="30" t="s">
        <v>263</v>
      </c>
      <c r="B42" s="30" t="s">
        <v>259</v>
      </c>
      <c r="C42" s="30">
        <v>30.0</v>
      </c>
      <c r="D42" s="36">
        <v>10.0</v>
      </c>
      <c r="E42" s="24"/>
      <c r="F42" s="24"/>
      <c r="G42" s="24"/>
      <c r="H42" s="29"/>
      <c r="I42" s="30" t="str">
        <f t="shared" si="1"/>
        <v>Correcto</v>
      </c>
    </row>
    <row r="43" ht="15.75" customHeight="1"/>
    <row r="44" ht="15.75" customHeight="1">
      <c r="A44" s="112" t="s">
        <v>264</v>
      </c>
      <c r="G44" s="84" t="s">
        <v>36</v>
      </c>
      <c r="H44" s="113">
        <v>50.0</v>
      </c>
    </row>
    <row r="45" ht="15.75" customHeight="1">
      <c r="G45" s="45" t="s">
        <v>265</v>
      </c>
    </row>
    <row r="46" ht="15.75" customHeight="1">
      <c r="A46" s="45" t="s">
        <v>266</v>
      </c>
    </row>
    <row r="47">
      <c r="A47" s="58" t="s">
        <v>267</v>
      </c>
      <c r="B47" s="72" t="s">
        <v>150</v>
      </c>
      <c r="C47" s="24"/>
      <c r="D47" s="24"/>
      <c r="E47" s="24"/>
      <c r="F47" s="24"/>
      <c r="G47" s="24"/>
      <c r="H47" s="29"/>
    </row>
    <row r="48" ht="15.75" customHeight="1">
      <c r="A48" s="58" t="s">
        <v>8</v>
      </c>
      <c r="B48" s="72" t="s">
        <v>269</v>
      </c>
      <c r="C48" s="24"/>
      <c r="D48" s="24"/>
      <c r="E48" s="24"/>
      <c r="F48" s="24"/>
      <c r="G48" s="24"/>
      <c r="H48" s="29"/>
    </row>
    <row r="49" ht="15.75" customHeight="1">
      <c r="A49" s="58" t="s">
        <v>229</v>
      </c>
      <c r="B49" s="128">
        <v>0.0</v>
      </c>
      <c r="C49" s="24"/>
      <c r="D49" s="24"/>
      <c r="E49" s="24"/>
      <c r="F49" s="24"/>
      <c r="G49" s="24"/>
      <c r="H49" s="29"/>
    </row>
    <row r="50" ht="15.75" customHeight="1">
      <c r="A50" s="58" t="s">
        <v>36</v>
      </c>
      <c r="B50" s="72">
        <v>40.0</v>
      </c>
      <c r="C50" s="24"/>
      <c r="D50" s="24"/>
      <c r="E50" s="24"/>
      <c r="F50" s="24"/>
      <c r="G50" s="24"/>
      <c r="H50" s="29"/>
    </row>
    <row r="51" ht="15.75" customHeight="1">
      <c r="A51" s="129" t="s">
        <v>270</v>
      </c>
      <c r="B51" s="6"/>
      <c r="C51" s="6"/>
      <c r="D51" s="6"/>
      <c r="E51" s="6"/>
      <c r="F51" s="6"/>
      <c r="G51" s="6"/>
      <c r="H51" s="6"/>
    </row>
    <row r="52" ht="15.75" customHeight="1">
      <c r="A52" s="114" t="s">
        <v>271</v>
      </c>
      <c r="B52" s="24"/>
      <c r="C52" s="24"/>
      <c r="D52" s="24"/>
      <c r="E52" s="24"/>
      <c r="F52" s="24"/>
      <c r="G52" s="24"/>
      <c r="H52" s="29"/>
    </row>
    <row r="53" ht="15.75" customHeight="1">
      <c r="A53" s="135" t="s">
        <v>278</v>
      </c>
      <c r="B53" s="100"/>
      <c r="C53" s="100"/>
      <c r="D53" s="100"/>
      <c r="E53" s="100"/>
      <c r="F53" s="100"/>
      <c r="G53" s="100"/>
      <c r="H53" s="101"/>
    </row>
    <row r="54" ht="15.75" customHeight="1">
      <c r="A54" s="131"/>
      <c r="H54" s="132"/>
    </row>
    <row r="55" ht="15.75" customHeight="1">
      <c r="A55" s="102"/>
      <c r="B55" s="103"/>
      <c r="C55" s="103"/>
      <c r="D55" s="103"/>
      <c r="E55" s="103"/>
      <c r="F55" s="103"/>
      <c r="G55" s="103"/>
      <c r="H55" s="104"/>
    </row>
    <row r="56" ht="15.75" customHeight="1"/>
    <row r="57" ht="15.75" customHeight="1">
      <c r="A57" s="45" t="s">
        <v>272</v>
      </c>
    </row>
    <row r="58">
      <c r="A58" s="58" t="s">
        <v>267</v>
      </c>
      <c r="B58" s="28"/>
      <c r="C58" s="24"/>
      <c r="D58" s="24"/>
      <c r="E58" s="24"/>
      <c r="F58" s="24"/>
      <c r="G58" s="24"/>
      <c r="H58" s="29"/>
    </row>
    <row r="59" ht="15.75" customHeight="1">
      <c r="A59" s="58" t="s">
        <v>8</v>
      </c>
      <c r="B59" s="28"/>
      <c r="C59" s="24"/>
      <c r="D59" s="24"/>
      <c r="E59" s="24"/>
      <c r="F59" s="24"/>
      <c r="G59" s="24"/>
      <c r="H59" s="29"/>
    </row>
    <row r="60" ht="15.75" customHeight="1">
      <c r="A60" s="58" t="s">
        <v>229</v>
      </c>
      <c r="B60" s="128"/>
      <c r="C60" s="24"/>
      <c r="D60" s="24"/>
      <c r="E60" s="24"/>
      <c r="F60" s="24"/>
      <c r="G60" s="24"/>
      <c r="H60" s="29"/>
    </row>
    <row r="61" ht="15.75" customHeight="1">
      <c r="A61" s="58" t="s">
        <v>36</v>
      </c>
      <c r="B61" s="128"/>
      <c r="C61" s="24"/>
      <c r="D61" s="24"/>
      <c r="E61" s="24"/>
      <c r="F61" s="24"/>
      <c r="G61" s="24"/>
      <c r="H61" s="29"/>
    </row>
    <row r="62" ht="15.75" customHeight="1">
      <c r="A62" s="133" t="s">
        <v>273</v>
      </c>
      <c r="B62" s="6"/>
      <c r="C62" s="6"/>
      <c r="D62" s="6"/>
      <c r="E62" s="6"/>
      <c r="F62" s="6"/>
      <c r="G62" s="6"/>
      <c r="H62" s="6"/>
    </row>
    <row r="63" ht="15.75" customHeight="1">
      <c r="A63" s="114" t="s">
        <v>271</v>
      </c>
      <c r="B63" s="24"/>
      <c r="C63" s="24"/>
      <c r="D63" s="24"/>
      <c r="E63" s="24"/>
      <c r="F63" s="24"/>
      <c r="G63" s="24"/>
      <c r="H63" s="29"/>
    </row>
    <row r="64" ht="15.75" customHeight="1">
      <c r="A64" s="130"/>
      <c r="B64" s="100"/>
      <c r="C64" s="100"/>
      <c r="D64" s="100"/>
      <c r="E64" s="100"/>
      <c r="F64" s="100"/>
      <c r="G64" s="100"/>
      <c r="H64" s="101"/>
    </row>
    <row r="65" ht="15.75" customHeight="1">
      <c r="A65" s="131"/>
      <c r="H65" s="132"/>
    </row>
    <row r="66" ht="15.75" customHeight="1">
      <c r="A66" s="102"/>
      <c r="B66" s="103"/>
      <c r="C66" s="103"/>
      <c r="D66" s="103"/>
      <c r="E66" s="103"/>
      <c r="F66" s="103"/>
      <c r="G66" s="103"/>
      <c r="H66" s="104"/>
    </row>
    <row r="67" ht="15.75" customHeight="1"/>
    <row r="68" ht="15.75" customHeight="1">
      <c r="A68" s="112" t="s">
        <v>274</v>
      </c>
      <c r="G68" s="84" t="s">
        <v>36</v>
      </c>
      <c r="H68" s="125">
        <f>B70</f>
        <v>2</v>
      </c>
    </row>
    <row r="69" ht="15.75" customHeight="1">
      <c r="G69" s="45" t="s">
        <v>275</v>
      </c>
    </row>
    <row r="70" ht="15.75" customHeight="1">
      <c r="A70" s="58" t="s">
        <v>36</v>
      </c>
      <c r="B70" s="134">
        <v>2.0</v>
      </c>
      <c r="C70" s="24"/>
      <c r="D70" s="24"/>
      <c r="E70" s="24"/>
      <c r="F70" s="24"/>
      <c r="G70" s="24"/>
      <c r="H70" s="29"/>
    </row>
    <row r="71" ht="15.75" customHeight="1">
      <c r="A71" s="126" t="s">
        <v>276</v>
      </c>
      <c r="B71" s="24"/>
      <c r="C71" s="24"/>
      <c r="D71" s="24"/>
      <c r="E71" s="24"/>
      <c r="F71" s="24"/>
      <c r="G71" s="24"/>
      <c r="H71" s="29"/>
    </row>
    <row r="72" ht="15.75" customHeight="1">
      <c r="A72" s="130"/>
      <c r="B72" s="100"/>
      <c r="C72" s="100"/>
      <c r="D72" s="100"/>
      <c r="E72" s="100"/>
      <c r="F72" s="100"/>
      <c r="G72" s="100"/>
      <c r="H72" s="101"/>
    </row>
    <row r="73" ht="15.75" customHeight="1">
      <c r="A73" s="102"/>
      <c r="B73" s="103"/>
      <c r="C73" s="103"/>
      <c r="D73" s="103"/>
      <c r="E73" s="103"/>
      <c r="F73" s="103"/>
      <c r="G73" s="103"/>
      <c r="H73" s="104"/>
    </row>
    <row r="74" ht="15.75" customHeight="1">
      <c r="A74" s="45" t="s">
        <v>277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228</v>
      </c>
    </row>
    <row r="3" ht="15.75" customHeight="1"/>
    <row r="4" ht="15.75" customHeight="1">
      <c r="B4" s="18" t="s">
        <v>1</v>
      </c>
      <c r="C4" s="110" t="str">
        <f>'Diseño'!C4</f>
        <v>796 - Lenguajes Formales y de Programación</v>
      </c>
      <c r="D4" s="24"/>
      <c r="E4" s="24"/>
      <c r="F4" s="24"/>
      <c r="G4" s="29"/>
    </row>
    <row r="5" ht="15.75" customHeight="1">
      <c r="B5" s="30" t="s">
        <v>24</v>
      </c>
      <c r="C5" s="28">
        <v>5.0</v>
      </c>
      <c r="D5" s="24"/>
      <c r="E5" s="24"/>
      <c r="F5" s="24"/>
      <c r="G5" s="29"/>
    </row>
    <row r="6" ht="15.75" customHeight="1">
      <c r="B6" s="89" t="s">
        <v>27</v>
      </c>
      <c r="C6" s="72">
        <v>100.0</v>
      </c>
      <c r="D6" s="24"/>
      <c r="E6" s="24"/>
      <c r="F6" s="24"/>
      <c r="G6" s="29"/>
      <c r="I6" s="6"/>
    </row>
    <row r="7" ht="15.75" customHeight="1">
      <c r="B7" s="89" t="s">
        <v>229</v>
      </c>
      <c r="C7" s="28">
        <f>B56+B67</f>
        <v>0</v>
      </c>
      <c r="D7" s="24"/>
      <c r="E7" s="24"/>
      <c r="F7" s="24"/>
      <c r="G7" s="29"/>
    </row>
    <row r="8" ht="15.75" customHeight="1">
      <c r="B8" s="89" t="s">
        <v>230</v>
      </c>
      <c r="C8" s="111" t="str">
        <f>IF(H51&lt;=0, "❌ ERROR: La Actividad 1 debe tener un tiempo mayor a 0.", IF(H21&gt;60, "❌ ERROR: El 'Área de Conocimiento' no puede exceder los 60 min.", IF((H10+H21+H51)&lt;100, "❌ ERROR: El tiempo total debe ser de al menos 100 min.", "✅ VALIDACIÓN CORRECTA")))</f>
        <v>✅ VALIDACIÓN CORRECTA</v>
      </c>
      <c r="D8" s="24"/>
      <c r="E8" s="24"/>
      <c r="F8" s="24"/>
      <c r="G8" s="29"/>
      <c r="I8" s="6"/>
      <c r="J8" s="6"/>
      <c r="K8" s="6"/>
    </row>
    <row r="9" ht="15.75" customHeight="1"/>
    <row r="10" ht="15.75" customHeight="1">
      <c r="A10" s="112" t="s">
        <v>231</v>
      </c>
      <c r="G10" s="84" t="s">
        <v>36</v>
      </c>
      <c r="H10" s="125">
        <f>B13</f>
        <v>2</v>
      </c>
    </row>
    <row r="11" ht="15.75" customHeight="1">
      <c r="G11" s="45" t="s">
        <v>232</v>
      </c>
    </row>
    <row r="12" ht="15.75" customHeight="1">
      <c r="A12" s="58" t="s">
        <v>233</v>
      </c>
      <c r="B12" s="72" t="s">
        <v>279</v>
      </c>
      <c r="C12" s="24"/>
      <c r="D12" s="24"/>
      <c r="E12" s="24"/>
      <c r="F12" s="24"/>
      <c r="G12" s="24"/>
      <c r="H12" s="29"/>
    </row>
    <row r="13" ht="15.75" customHeight="1">
      <c r="A13" s="68" t="s">
        <v>36</v>
      </c>
      <c r="B13" s="72">
        <v>2.0</v>
      </c>
      <c r="C13" s="24"/>
      <c r="D13" s="24"/>
      <c r="E13" s="24"/>
      <c r="F13" s="24"/>
      <c r="G13" s="24"/>
      <c r="H13" s="29"/>
    </row>
    <row r="14" ht="15.75" customHeight="1">
      <c r="A14" s="114" t="s">
        <v>235</v>
      </c>
      <c r="B14" s="24"/>
      <c r="C14" s="24"/>
      <c r="D14" s="24"/>
      <c r="E14" s="24"/>
      <c r="F14" s="24"/>
      <c r="G14" s="24"/>
      <c r="H14" s="29"/>
    </row>
    <row r="15" ht="15.75" customHeight="1">
      <c r="A15" s="122" t="s">
        <v>280</v>
      </c>
      <c r="B15" s="100"/>
      <c r="C15" s="100"/>
      <c r="D15" s="100"/>
      <c r="E15" s="100"/>
      <c r="F15" s="100"/>
      <c r="G15" s="100"/>
      <c r="H15" s="101"/>
    </row>
    <row r="16" ht="15.75" customHeight="1">
      <c r="A16" s="102"/>
      <c r="B16" s="103"/>
      <c r="C16" s="103"/>
      <c r="D16" s="103"/>
      <c r="E16" s="103"/>
      <c r="F16" s="103"/>
      <c r="G16" s="103"/>
      <c r="H16" s="104"/>
    </row>
    <row r="17" ht="15.75" customHeight="1">
      <c r="A17" s="114" t="s">
        <v>238</v>
      </c>
      <c r="B17" s="24"/>
      <c r="C17" s="24"/>
      <c r="D17" s="24"/>
      <c r="E17" s="24"/>
      <c r="F17" s="24"/>
      <c r="G17" s="24"/>
      <c r="H17" s="29"/>
    </row>
    <row r="18" ht="15.75" customHeight="1">
      <c r="A18" s="122" t="s">
        <v>281</v>
      </c>
      <c r="B18" s="100"/>
      <c r="C18" s="100"/>
      <c r="D18" s="100"/>
      <c r="E18" s="100"/>
      <c r="F18" s="100"/>
      <c r="G18" s="100"/>
      <c r="H18" s="101"/>
    </row>
    <row r="19" ht="15.75" customHeight="1">
      <c r="A19" s="102"/>
      <c r="B19" s="103"/>
      <c r="C19" s="103"/>
      <c r="D19" s="103"/>
      <c r="E19" s="103"/>
      <c r="F19" s="103"/>
      <c r="G19" s="103"/>
      <c r="H19" s="104"/>
    </row>
    <row r="20" ht="15.75" customHeight="1"/>
    <row r="21" ht="15.75" customHeight="1">
      <c r="A21" s="112" t="s">
        <v>241</v>
      </c>
      <c r="G21" s="84" t="s">
        <v>36</v>
      </c>
      <c r="H21" s="125">
        <f>SUM(D46:H49)</f>
        <v>51</v>
      </c>
      <c r="I21" s="6"/>
    </row>
    <row r="22" ht="15.75" customHeight="1">
      <c r="G22" s="45" t="s">
        <v>243</v>
      </c>
    </row>
    <row r="23" ht="15.75" customHeight="1">
      <c r="A23" s="58" t="s">
        <v>244</v>
      </c>
      <c r="B23" s="72" t="s">
        <v>66</v>
      </c>
      <c r="C23" s="24"/>
      <c r="D23" s="24"/>
      <c r="E23" s="24"/>
      <c r="F23" s="24"/>
      <c r="G23" s="24"/>
      <c r="H23" s="29"/>
    </row>
    <row r="24" ht="15.75" customHeight="1">
      <c r="A24" s="58" t="s">
        <v>244</v>
      </c>
      <c r="B24" s="72" t="s">
        <v>282</v>
      </c>
      <c r="C24" s="24"/>
      <c r="D24" s="24"/>
      <c r="E24" s="24"/>
      <c r="F24" s="24"/>
      <c r="G24" s="24"/>
      <c r="H24" s="29"/>
    </row>
    <row r="25" ht="15.75" customHeight="1"/>
    <row r="26" ht="15.75" customHeight="1">
      <c r="A26" s="118" t="s">
        <v>246</v>
      </c>
      <c r="B26" s="6"/>
      <c r="C26" s="6"/>
      <c r="D26" s="6"/>
    </row>
    <row r="27" ht="15.75" customHeight="1">
      <c r="A27" s="119" t="s">
        <v>17</v>
      </c>
      <c r="B27" s="120" t="s">
        <v>247</v>
      </c>
      <c r="C27" s="29"/>
      <c r="D27" s="120" t="s">
        <v>248</v>
      </c>
      <c r="E27" s="29"/>
      <c r="F27" s="120" t="s">
        <v>249</v>
      </c>
      <c r="G27" s="24"/>
      <c r="H27" s="29"/>
    </row>
    <row r="28" ht="15.75" customHeight="1">
      <c r="A28" s="30">
        <v>1.0</v>
      </c>
      <c r="B28" s="28" t="str">
        <f>IFERROR(__xludf.DUMMYFUNCTION("FILTER('Diseño'!D:D,'Diseño'!H:H=$C$5)"),"Lenguajes Formales")</f>
        <v>Lenguajes Formales</v>
      </c>
      <c r="C28" s="29"/>
      <c r="D28" s="28" t="str">
        <f>IFERROR(__xludf.DUMMYFUNCTION("FILTER('Diseño'!E:E,'Diseño'!H:H=$C$5)"),"Lenguajes")</f>
        <v>Lenguajes</v>
      </c>
      <c r="E28" s="29"/>
      <c r="F28" s="28" t="str">
        <f>IFERROR(__xludf.DUMMYFUNCTION("FILTER('Diseño'!F:F,'Diseño'!H:H=$C$5)"),"Lenguajes Natural")</f>
        <v>Lenguajes Natural</v>
      </c>
      <c r="G28" s="24"/>
      <c r="H28" s="29"/>
    </row>
    <row r="29" ht="15.75" customHeight="1">
      <c r="A29" s="30">
        <v>2.0</v>
      </c>
      <c r="B29" s="28" t="str">
        <f>IFERROR(__xludf.DUMMYFUNCTION("""COMPUTED_VALUE"""),"Lenguajes Formales")</f>
        <v>Lenguajes Formales</v>
      </c>
      <c r="C29" s="29"/>
      <c r="D29" s="28" t="str">
        <f>IFERROR(__xludf.DUMMYFUNCTION("""COMPUTED_VALUE"""),"Lenguajes")</f>
        <v>Lenguajes</v>
      </c>
      <c r="E29" s="29"/>
      <c r="F29" s="28" t="str">
        <f>IFERROR(__xludf.DUMMYFUNCTION("""COMPUTED_VALUE"""),"Lenguajes Formales")</f>
        <v>Lenguajes Formales</v>
      </c>
      <c r="G29" s="24"/>
      <c r="H29" s="29"/>
    </row>
    <row r="30" ht="15.75" customHeight="1">
      <c r="A30" s="30">
        <v>3.0</v>
      </c>
      <c r="B30" s="28" t="str">
        <f>IFERROR(__xludf.DUMMYFUNCTION("""COMPUTED_VALUE"""),"Lenguajes Formales")</f>
        <v>Lenguajes Formales</v>
      </c>
      <c r="C30" s="29"/>
      <c r="D30" s="28" t="str">
        <f>IFERROR(__xludf.DUMMYFUNCTION("""COMPUTED_VALUE"""),"Lenguajes")</f>
        <v>Lenguajes</v>
      </c>
      <c r="E30" s="29"/>
      <c r="F30" s="28" t="str">
        <f>IFERROR(__xludf.DUMMYFUNCTION("""COMPUTED_VALUE"""),"Lenguajes de Programacion")</f>
        <v>Lenguajes de Programacion</v>
      </c>
      <c r="G30" s="24"/>
      <c r="H30" s="29"/>
    </row>
    <row r="31" ht="15.75" customHeight="1">
      <c r="A31" s="30">
        <v>4.0</v>
      </c>
      <c r="B31" s="28" t="str">
        <f>IFERROR(__xludf.DUMMYFUNCTION("""COMPUTED_VALUE"""),"Lenguajes Formales")</f>
        <v>Lenguajes Formales</v>
      </c>
      <c r="C31" s="29"/>
      <c r="D31" s="28" t="str">
        <f>IFERROR(__xludf.DUMMYFUNCTION("""COMPUTED_VALUE"""),"Lenguajes")</f>
        <v>Lenguajes</v>
      </c>
      <c r="E31" s="29"/>
      <c r="F31" s="28" t="str">
        <f>IFERROR(__xludf.DUMMYFUNCTION("""COMPUTED_VALUE"""),"Evolucion de los Lenguajes de Programacion")</f>
        <v>Evolucion de los Lenguajes de Programacion</v>
      </c>
      <c r="G31" s="24"/>
      <c r="H31" s="29"/>
    </row>
    <row r="32" ht="15.75" customHeight="1">
      <c r="A32" s="30">
        <v>5.0</v>
      </c>
      <c r="B32" s="28" t="str">
        <f>IFERROR(__xludf.DUMMYFUNCTION("""COMPUTED_VALUE"""),"Lenguajes Formales")</f>
        <v>Lenguajes Formales</v>
      </c>
      <c r="C32" s="29"/>
      <c r="D32" s="28" t="str">
        <f>IFERROR(__xludf.DUMMYFUNCTION("""COMPUTED_VALUE"""),"Lenguajes")</f>
        <v>Lenguajes</v>
      </c>
      <c r="E32" s="29"/>
      <c r="F32" s="28" t="str">
        <f>IFERROR(__xludf.DUMMYFUNCTION("""COMPUTED_VALUE"""),"Paradigmas")</f>
        <v>Paradigmas</v>
      </c>
      <c r="G32" s="24"/>
      <c r="H32" s="29"/>
    </row>
    <row r="33" ht="15.75" customHeight="1">
      <c r="A33" s="30">
        <v>6.0</v>
      </c>
      <c r="B33" s="28" t="str">
        <f>IFERROR(__xludf.DUMMYFUNCTION("""COMPUTED_VALUE"""),"Lenguajes Formales")</f>
        <v>Lenguajes Formales</v>
      </c>
      <c r="C33" s="29"/>
      <c r="D33" s="28" t="str">
        <f>IFERROR(__xludf.DUMMYFUNCTION("""COMPUTED_VALUE"""),"Lenguajes")</f>
        <v>Lenguajes</v>
      </c>
      <c r="E33" s="29"/>
      <c r="F33" s="28" t="str">
        <f>IFERROR(__xludf.DUMMYFUNCTION("""COMPUTED_VALUE"""),"Generaciones de lenguajes de programación")</f>
        <v>Generaciones de lenguajes de programación</v>
      </c>
      <c r="G33" s="24"/>
      <c r="H33" s="29"/>
    </row>
    <row r="34" ht="15.75" customHeight="1">
      <c r="A34" s="30">
        <v>7.0</v>
      </c>
      <c r="B34" s="28"/>
      <c r="C34" s="29"/>
      <c r="D34" s="28"/>
      <c r="E34" s="29"/>
      <c r="F34" s="28"/>
      <c r="G34" s="24"/>
      <c r="H34" s="29"/>
    </row>
    <row r="35" ht="15.75" customHeight="1">
      <c r="A35" s="30">
        <v>8.0</v>
      </c>
      <c r="B35" s="87"/>
      <c r="C35" s="87"/>
      <c r="D35" s="136"/>
      <c r="E35" s="29"/>
      <c r="F35" s="136"/>
      <c r="G35" s="24"/>
      <c r="H35" s="29"/>
    </row>
    <row r="36" ht="15.75" customHeight="1">
      <c r="A36" s="30">
        <v>9.0</v>
      </c>
      <c r="B36" s="87"/>
      <c r="C36" s="87"/>
      <c r="D36" s="136"/>
      <c r="E36" s="29"/>
      <c r="F36" s="136"/>
      <c r="G36" s="24"/>
      <c r="H36" s="29"/>
    </row>
    <row r="37" ht="15.75" customHeight="1">
      <c r="A37" s="30">
        <v>10.0</v>
      </c>
      <c r="B37" s="87"/>
      <c r="C37" s="87"/>
      <c r="D37" s="136"/>
      <c r="E37" s="29"/>
      <c r="F37" s="136"/>
      <c r="G37" s="24"/>
      <c r="H37" s="29"/>
    </row>
    <row r="38">
      <c r="A38" s="30">
        <v>11.0</v>
      </c>
      <c r="B38" s="87"/>
      <c r="C38" s="87"/>
      <c r="D38" s="136"/>
      <c r="E38" s="29"/>
      <c r="F38" s="136"/>
      <c r="G38" s="24"/>
      <c r="H38" s="29"/>
    </row>
    <row r="39" ht="15.75" customHeight="1">
      <c r="A39" s="30">
        <v>12.0</v>
      </c>
      <c r="B39" s="87"/>
      <c r="C39" s="87"/>
      <c r="D39" s="136"/>
      <c r="E39" s="29"/>
      <c r="F39" s="136"/>
      <c r="G39" s="24"/>
      <c r="H39" s="29"/>
    </row>
    <row r="40" ht="15.75" customHeight="1"/>
    <row r="41" ht="15.75" customHeight="1"/>
    <row r="42" ht="15.75" customHeight="1"/>
    <row r="43" ht="15.75" customHeight="1">
      <c r="A43" s="118" t="s">
        <v>254</v>
      </c>
    </row>
    <row r="44" ht="15.75" customHeight="1">
      <c r="A44" s="6"/>
      <c r="B44" s="6"/>
      <c r="C44" s="6"/>
      <c r="D44" s="6"/>
      <c r="E44" s="6"/>
      <c r="F44" s="6"/>
      <c r="G44" s="6"/>
      <c r="H44" s="6"/>
    </row>
    <row r="45" ht="15.75" customHeight="1">
      <c r="A45" s="119" t="s">
        <v>255</v>
      </c>
      <c r="B45" s="119" t="s">
        <v>56</v>
      </c>
      <c r="C45" s="124" t="s">
        <v>256</v>
      </c>
      <c r="D45" s="126" t="s">
        <v>257</v>
      </c>
      <c r="E45" s="24"/>
      <c r="F45" s="24"/>
      <c r="G45" s="24"/>
      <c r="H45" s="29"/>
      <c r="I45" s="127" t="s">
        <v>103</v>
      </c>
    </row>
    <row r="46" ht="15.75" customHeight="1">
      <c r="A46" s="30" t="s">
        <v>258</v>
      </c>
      <c r="B46" s="30" t="s">
        <v>259</v>
      </c>
      <c r="C46" s="30">
        <v>30.0</v>
      </c>
      <c r="D46" s="72">
        <v>25.0</v>
      </c>
      <c r="E46" s="24"/>
      <c r="F46" s="24"/>
      <c r="G46" s="24"/>
      <c r="H46" s="29"/>
      <c r="I46" s="30" t="str">
        <f t="shared" ref="I46:I49" si="1">IF(D46&lt;=C46,"Correcto", "Corregir")</f>
        <v>Correcto</v>
      </c>
    </row>
    <row r="47">
      <c r="A47" s="30" t="s">
        <v>260</v>
      </c>
      <c r="B47" s="30" t="s">
        <v>259</v>
      </c>
      <c r="C47" s="30">
        <v>6.0</v>
      </c>
      <c r="D47" s="72">
        <v>6.0</v>
      </c>
      <c r="E47" s="24"/>
      <c r="F47" s="24"/>
      <c r="G47" s="24"/>
      <c r="H47" s="29"/>
      <c r="I47" s="30" t="str">
        <f t="shared" si="1"/>
        <v>Correcto</v>
      </c>
    </row>
    <row r="48" ht="15.75" customHeight="1">
      <c r="A48" s="30" t="s">
        <v>261</v>
      </c>
      <c r="B48" s="30" t="s">
        <v>262</v>
      </c>
      <c r="C48" s="30">
        <v>10.0</v>
      </c>
      <c r="D48" s="72">
        <v>10.0</v>
      </c>
      <c r="E48" s="24"/>
      <c r="F48" s="24"/>
      <c r="G48" s="24"/>
      <c r="H48" s="29"/>
      <c r="I48" s="30" t="str">
        <f t="shared" si="1"/>
        <v>Correcto</v>
      </c>
    </row>
    <row r="49" ht="15.75" customHeight="1">
      <c r="A49" s="30" t="s">
        <v>263</v>
      </c>
      <c r="B49" s="30" t="s">
        <v>259</v>
      </c>
      <c r="C49" s="30">
        <v>30.0</v>
      </c>
      <c r="D49" s="72">
        <v>10.0</v>
      </c>
      <c r="E49" s="24"/>
      <c r="F49" s="24"/>
      <c r="G49" s="24"/>
      <c r="H49" s="29"/>
      <c r="I49" s="30" t="str">
        <f t="shared" si="1"/>
        <v>Correcto</v>
      </c>
    </row>
    <row r="50" ht="15.75" customHeight="1"/>
    <row r="51" ht="15.75" customHeight="1">
      <c r="A51" s="112" t="s">
        <v>264</v>
      </c>
      <c r="G51" s="84" t="s">
        <v>36</v>
      </c>
      <c r="H51" s="125">
        <f>B57</f>
        <v>50</v>
      </c>
    </row>
    <row r="52" ht="15.75" customHeight="1">
      <c r="G52" s="45" t="s">
        <v>265</v>
      </c>
    </row>
    <row r="53" ht="15.75" customHeight="1">
      <c r="A53" s="45" t="s">
        <v>266</v>
      </c>
    </row>
    <row r="54" ht="15.75" customHeight="1">
      <c r="A54" s="58" t="s">
        <v>267</v>
      </c>
      <c r="B54" s="72" t="s">
        <v>66</v>
      </c>
      <c r="C54" s="24"/>
      <c r="D54" s="24"/>
      <c r="E54" s="24"/>
      <c r="F54" s="24"/>
      <c r="G54" s="24"/>
      <c r="H54" s="29"/>
    </row>
    <row r="55" ht="15.75" customHeight="1">
      <c r="A55" s="58" t="s">
        <v>8</v>
      </c>
      <c r="B55" s="28" t="s">
        <v>268</v>
      </c>
      <c r="C55" s="24"/>
      <c r="D55" s="24"/>
      <c r="E55" s="24"/>
      <c r="F55" s="24"/>
      <c r="G55" s="24"/>
      <c r="H55" s="29"/>
    </row>
    <row r="56" ht="15.75" customHeight="1">
      <c r="A56" s="58" t="s">
        <v>229</v>
      </c>
      <c r="B56" s="128">
        <v>0.0</v>
      </c>
      <c r="C56" s="24"/>
      <c r="D56" s="24"/>
      <c r="E56" s="24"/>
      <c r="F56" s="24"/>
      <c r="G56" s="24"/>
      <c r="H56" s="29"/>
    </row>
    <row r="57" ht="15.75" customHeight="1">
      <c r="A57" s="58" t="s">
        <v>36</v>
      </c>
      <c r="B57" s="72">
        <v>50.0</v>
      </c>
      <c r="C57" s="24"/>
      <c r="D57" s="24"/>
      <c r="E57" s="24"/>
      <c r="F57" s="24"/>
      <c r="G57" s="24"/>
      <c r="H57" s="29"/>
    </row>
    <row r="58">
      <c r="A58" s="129" t="s">
        <v>270</v>
      </c>
      <c r="B58" s="6"/>
      <c r="C58" s="6"/>
      <c r="D58" s="6"/>
      <c r="E58" s="6"/>
      <c r="F58" s="6"/>
      <c r="G58" s="6"/>
      <c r="H58" s="6"/>
    </row>
    <row r="59" ht="15.75" customHeight="1">
      <c r="A59" s="114" t="s">
        <v>271</v>
      </c>
      <c r="B59" s="24"/>
      <c r="C59" s="24"/>
      <c r="D59" s="24"/>
      <c r="E59" s="24"/>
      <c r="F59" s="24"/>
      <c r="G59" s="24"/>
      <c r="H59" s="29"/>
    </row>
    <row r="60" ht="15.75" customHeight="1">
      <c r="A60" s="130"/>
      <c r="B60" s="100"/>
      <c r="C60" s="100"/>
      <c r="D60" s="100"/>
      <c r="E60" s="100"/>
      <c r="F60" s="100"/>
      <c r="G60" s="100"/>
      <c r="H60" s="101"/>
    </row>
    <row r="61" ht="15.75" customHeight="1">
      <c r="A61" s="131"/>
      <c r="H61" s="132"/>
    </row>
    <row r="62" ht="15.75" customHeight="1">
      <c r="A62" s="102"/>
      <c r="B62" s="103"/>
      <c r="C62" s="103"/>
      <c r="D62" s="103"/>
      <c r="E62" s="103"/>
      <c r="F62" s="103"/>
      <c r="G62" s="103"/>
      <c r="H62" s="104"/>
    </row>
    <row r="63" ht="15.75" customHeight="1"/>
    <row r="64" ht="15.75" customHeight="1">
      <c r="A64" s="45" t="s">
        <v>272</v>
      </c>
    </row>
    <row r="65" ht="15.75" customHeight="1">
      <c r="A65" s="58" t="s">
        <v>267</v>
      </c>
      <c r="B65" s="28"/>
      <c r="C65" s="24"/>
      <c r="D65" s="24"/>
      <c r="E65" s="24"/>
      <c r="F65" s="24"/>
      <c r="G65" s="24"/>
      <c r="H65" s="29"/>
    </row>
    <row r="66" ht="15.75" customHeight="1">
      <c r="A66" s="58" t="s">
        <v>8</v>
      </c>
      <c r="B66" s="28"/>
      <c r="C66" s="24"/>
      <c r="D66" s="24"/>
      <c r="E66" s="24"/>
      <c r="F66" s="24"/>
      <c r="G66" s="24"/>
      <c r="H66" s="29"/>
    </row>
    <row r="67" ht="15.75" customHeight="1">
      <c r="A67" s="58" t="s">
        <v>229</v>
      </c>
      <c r="B67" s="128"/>
      <c r="C67" s="24"/>
      <c r="D67" s="24"/>
      <c r="E67" s="24"/>
      <c r="F67" s="24"/>
      <c r="G67" s="24"/>
      <c r="H67" s="29"/>
    </row>
    <row r="68" ht="15.75" customHeight="1">
      <c r="A68" s="58" t="s">
        <v>36</v>
      </c>
      <c r="B68" s="128"/>
      <c r="C68" s="24"/>
      <c r="D68" s="24"/>
      <c r="E68" s="24"/>
      <c r="F68" s="24"/>
      <c r="G68" s="24"/>
      <c r="H68" s="29"/>
    </row>
    <row r="69" ht="15.75" customHeight="1">
      <c r="A69" s="133" t="s">
        <v>273</v>
      </c>
      <c r="B69" s="6"/>
      <c r="C69" s="6"/>
      <c r="D69" s="6"/>
      <c r="E69" s="6"/>
      <c r="F69" s="6"/>
      <c r="G69" s="6"/>
      <c r="H69" s="6"/>
    </row>
    <row r="70" ht="15.75" customHeight="1">
      <c r="A70" s="114" t="s">
        <v>271</v>
      </c>
      <c r="B70" s="24"/>
      <c r="C70" s="24"/>
      <c r="D70" s="24"/>
      <c r="E70" s="24"/>
      <c r="F70" s="24"/>
      <c r="G70" s="24"/>
      <c r="H70" s="29"/>
    </row>
    <row r="71" ht="15.75" customHeight="1">
      <c r="A71" s="130"/>
      <c r="B71" s="100"/>
      <c r="C71" s="100"/>
      <c r="D71" s="100"/>
      <c r="E71" s="100"/>
      <c r="F71" s="100"/>
      <c r="G71" s="100"/>
      <c r="H71" s="101"/>
    </row>
    <row r="72" ht="15.75" customHeight="1">
      <c r="A72" s="131"/>
      <c r="H72" s="132"/>
    </row>
    <row r="73" ht="15.75" customHeight="1">
      <c r="A73" s="102"/>
      <c r="B73" s="103"/>
      <c r="C73" s="103"/>
      <c r="D73" s="103"/>
      <c r="E73" s="103"/>
      <c r="F73" s="103"/>
      <c r="G73" s="103"/>
      <c r="H73" s="104"/>
    </row>
    <row r="74" ht="15.75" customHeight="1"/>
    <row r="75" ht="15.75" customHeight="1">
      <c r="A75" s="112" t="s">
        <v>274</v>
      </c>
      <c r="G75" s="84" t="s">
        <v>36</v>
      </c>
      <c r="H75" s="125">
        <f>B77</f>
        <v>2</v>
      </c>
    </row>
    <row r="76" ht="15.75" customHeight="1">
      <c r="G76" s="45" t="s">
        <v>275</v>
      </c>
    </row>
    <row r="77" ht="15.75" customHeight="1">
      <c r="A77" s="58" t="s">
        <v>36</v>
      </c>
      <c r="B77" s="134">
        <v>2.0</v>
      </c>
      <c r="C77" s="24"/>
      <c r="D77" s="24"/>
      <c r="E77" s="24"/>
      <c r="F77" s="24"/>
      <c r="G77" s="24"/>
      <c r="H77" s="29"/>
    </row>
    <row r="78" ht="15.75" customHeight="1">
      <c r="A78" s="126" t="s">
        <v>276</v>
      </c>
      <c r="B78" s="24"/>
      <c r="C78" s="24"/>
      <c r="D78" s="24"/>
      <c r="E78" s="24"/>
      <c r="F78" s="24"/>
      <c r="G78" s="24"/>
      <c r="H78" s="29"/>
    </row>
    <row r="79" ht="15.75" customHeight="1">
      <c r="A79" s="130"/>
      <c r="B79" s="100"/>
      <c r="C79" s="100"/>
      <c r="D79" s="100"/>
      <c r="E79" s="100"/>
      <c r="F79" s="100"/>
      <c r="G79" s="100"/>
      <c r="H79" s="101"/>
    </row>
    <row r="80" ht="15.75" customHeight="1">
      <c r="A80" s="102"/>
      <c r="B80" s="103"/>
      <c r="C80" s="103"/>
      <c r="D80" s="103"/>
      <c r="E80" s="103"/>
      <c r="F80" s="103"/>
      <c r="G80" s="103"/>
      <c r="H80" s="104"/>
    </row>
    <row r="81" ht="15.75" customHeight="1">
      <c r="A81" s="45" t="s">
        <v>277</v>
      </c>
    </row>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1">
    <mergeCell ref="B32:C32"/>
    <mergeCell ref="D32:E32"/>
    <mergeCell ref="F32:H32"/>
    <mergeCell ref="B33:C33"/>
    <mergeCell ref="D33:E33"/>
    <mergeCell ref="F33:H33"/>
    <mergeCell ref="B34:C34"/>
    <mergeCell ref="D34:E34"/>
    <mergeCell ref="F34:H34"/>
    <mergeCell ref="D35:E35"/>
    <mergeCell ref="F35:H35"/>
    <mergeCell ref="D36:E36"/>
    <mergeCell ref="F36:H36"/>
    <mergeCell ref="F37:H37"/>
    <mergeCell ref="A51:F51"/>
    <mergeCell ref="B54:H54"/>
    <mergeCell ref="B55:H55"/>
    <mergeCell ref="B56:H56"/>
    <mergeCell ref="B57:H57"/>
    <mergeCell ref="A59:H59"/>
    <mergeCell ref="A60:H62"/>
    <mergeCell ref="B77:H77"/>
    <mergeCell ref="A78:H78"/>
    <mergeCell ref="A79:H80"/>
    <mergeCell ref="B65:H65"/>
    <mergeCell ref="B66:H66"/>
    <mergeCell ref="B67:H67"/>
    <mergeCell ref="B68:H68"/>
    <mergeCell ref="A70:H70"/>
    <mergeCell ref="A71:H73"/>
    <mergeCell ref="A75:F75"/>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D37:E37"/>
    <mergeCell ref="D38:E38"/>
    <mergeCell ref="D39:E39"/>
    <mergeCell ref="F38:H38"/>
    <mergeCell ref="F39:H39"/>
    <mergeCell ref="D45:H45"/>
    <mergeCell ref="D46:H46"/>
    <mergeCell ref="D47:H47"/>
    <mergeCell ref="D48:H48"/>
    <mergeCell ref="D49:H49"/>
  </mergeCells>
  <conditionalFormatting sqref="D46:H49">
    <cfRule type="cellIs" dxfId="0" priority="1" operator="between">
      <formula>0</formula>
      <formula>45</formula>
    </cfRule>
  </conditionalFormatting>
  <dataValidations>
    <dataValidation type="list" allowBlank="1" showErrorMessage="1" sqref="B55">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228</v>
      </c>
    </row>
    <row r="3" ht="15.75" customHeight="1"/>
    <row r="4" ht="15.75" customHeight="1">
      <c r="B4" s="18" t="s">
        <v>1</v>
      </c>
      <c r="C4" s="110" t="str">
        <f>'Diseño'!C4</f>
        <v>796 - Lenguajes Formales y de Programación</v>
      </c>
      <c r="D4" s="24"/>
      <c r="E4" s="24"/>
      <c r="F4" s="24"/>
      <c r="G4" s="29"/>
    </row>
    <row r="5" ht="15.75" customHeight="1">
      <c r="B5" s="30" t="s">
        <v>24</v>
      </c>
      <c r="C5" s="28">
        <v>6.0</v>
      </c>
      <c r="D5" s="24"/>
      <c r="E5" s="24"/>
      <c r="F5" s="24"/>
      <c r="G5" s="29"/>
    </row>
    <row r="6" ht="15.75" customHeight="1">
      <c r="B6" s="89" t="s">
        <v>27</v>
      </c>
      <c r="C6" s="72">
        <v>100.0</v>
      </c>
      <c r="D6" s="24"/>
      <c r="E6" s="24"/>
      <c r="F6" s="24"/>
      <c r="G6" s="29"/>
      <c r="I6" s="6"/>
    </row>
    <row r="7" ht="15.75" customHeight="1">
      <c r="B7" s="89" t="s">
        <v>229</v>
      </c>
      <c r="C7" s="28">
        <f>B49+B60</f>
        <v>0</v>
      </c>
      <c r="D7" s="24"/>
      <c r="E7" s="24"/>
      <c r="F7" s="24"/>
      <c r="G7" s="29"/>
    </row>
    <row r="8" ht="15.75" customHeight="1">
      <c r="B8" s="89" t="s">
        <v>230</v>
      </c>
      <c r="C8" s="111" t="str">
        <f>IF(H44&lt;=0, "❌ ERROR: La Actividad 1 debe tener un tiempo mayor a 0.", IF(H21&gt;60, "❌ ERROR: El 'Área de Conocimiento' no puede exceder los 60 min.", IF((H10+H21+H44)&lt;100, "❌ ERROR: El tiempo total debe ser de al menos 100 min.", "✅ VALIDACIÓN CORRECTA")))</f>
        <v>✅ VALIDACIÓN CORRECTA</v>
      </c>
      <c r="D8" s="24"/>
      <c r="E8" s="24"/>
      <c r="F8" s="24"/>
      <c r="G8" s="29"/>
      <c r="I8" s="6"/>
      <c r="J8" s="6"/>
      <c r="K8" s="6"/>
    </row>
    <row r="9" ht="15.75" customHeight="1"/>
    <row r="10" ht="15.75" customHeight="1">
      <c r="A10" s="112" t="s">
        <v>231</v>
      </c>
      <c r="G10" s="84" t="s">
        <v>36</v>
      </c>
      <c r="H10" s="125">
        <f>B13</f>
        <v>2</v>
      </c>
    </row>
    <row r="11" ht="15.75" customHeight="1">
      <c r="G11" s="45" t="s">
        <v>232</v>
      </c>
    </row>
    <row r="12" ht="15.75" customHeight="1">
      <c r="A12" s="58" t="s">
        <v>233</v>
      </c>
      <c r="B12" s="72" t="s">
        <v>283</v>
      </c>
      <c r="C12" s="24"/>
      <c r="D12" s="24"/>
      <c r="E12" s="24"/>
      <c r="F12" s="24"/>
      <c r="G12" s="24"/>
      <c r="H12" s="29"/>
    </row>
    <row r="13" ht="15.75" customHeight="1">
      <c r="A13" s="68" t="s">
        <v>36</v>
      </c>
      <c r="B13" s="72">
        <v>2.0</v>
      </c>
      <c r="C13" s="24"/>
      <c r="D13" s="24"/>
      <c r="E13" s="24"/>
      <c r="F13" s="24"/>
      <c r="G13" s="24"/>
      <c r="H13" s="29"/>
    </row>
    <row r="14" ht="15.75" customHeight="1">
      <c r="A14" s="114" t="s">
        <v>235</v>
      </c>
      <c r="B14" s="24"/>
      <c r="C14" s="24"/>
      <c r="D14" s="24"/>
      <c r="E14" s="24"/>
      <c r="F14" s="24"/>
      <c r="G14" s="24"/>
      <c r="H14" s="29"/>
    </row>
    <row r="15" ht="15.75" customHeight="1">
      <c r="A15" s="122" t="s">
        <v>284</v>
      </c>
      <c r="B15" s="100"/>
      <c r="C15" s="100"/>
      <c r="D15" s="100"/>
      <c r="E15" s="100"/>
      <c r="F15" s="100"/>
      <c r="G15" s="100"/>
      <c r="H15" s="101"/>
    </row>
    <row r="16" ht="15.75" customHeight="1">
      <c r="A16" s="102"/>
      <c r="B16" s="103"/>
      <c r="C16" s="103"/>
      <c r="D16" s="103"/>
      <c r="E16" s="103"/>
      <c r="F16" s="103"/>
      <c r="G16" s="103"/>
      <c r="H16" s="104"/>
    </row>
    <row r="17" ht="15.75" customHeight="1">
      <c r="A17" s="114" t="s">
        <v>238</v>
      </c>
      <c r="B17" s="24"/>
      <c r="C17" s="24"/>
      <c r="D17" s="24"/>
      <c r="E17" s="24"/>
      <c r="F17" s="24"/>
      <c r="G17" s="24"/>
      <c r="H17" s="29"/>
    </row>
    <row r="18" ht="15.75" customHeight="1">
      <c r="A18" s="122" t="s">
        <v>285</v>
      </c>
      <c r="B18" s="100"/>
      <c r="C18" s="100"/>
      <c r="D18" s="100"/>
      <c r="E18" s="100"/>
      <c r="F18" s="100"/>
      <c r="G18" s="100"/>
      <c r="H18" s="101"/>
    </row>
    <row r="19" ht="15.75" customHeight="1">
      <c r="A19" s="102"/>
      <c r="B19" s="103"/>
      <c r="C19" s="103"/>
      <c r="D19" s="103"/>
      <c r="E19" s="103"/>
      <c r="F19" s="103"/>
      <c r="G19" s="103"/>
      <c r="H19" s="104"/>
    </row>
    <row r="20" ht="15.75" customHeight="1"/>
    <row r="21" ht="15.75" customHeight="1">
      <c r="A21" s="112" t="s">
        <v>241</v>
      </c>
      <c r="G21" s="84" t="s">
        <v>36</v>
      </c>
      <c r="H21" s="125">
        <f>SUM(D39:H42)</f>
        <v>55</v>
      </c>
      <c r="I21" s="6"/>
    </row>
    <row r="22" ht="15.75" customHeight="1">
      <c r="G22" s="45" t="s">
        <v>243</v>
      </c>
    </row>
    <row r="23" ht="15.75" customHeight="1">
      <c r="A23" s="58" t="s">
        <v>244</v>
      </c>
      <c r="B23" s="72" t="s">
        <v>66</v>
      </c>
      <c r="C23" s="24"/>
      <c r="D23" s="24"/>
      <c r="E23" s="24"/>
      <c r="F23" s="24"/>
      <c r="G23" s="24"/>
      <c r="H23" s="29"/>
    </row>
    <row r="24" ht="15.75" customHeight="1">
      <c r="A24" s="58" t="s">
        <v>244</v>
      </c>
      <c r="B24" s="72" t="s">
        <v>118</v>
      </c>
      <c r="C24" s="24"/>
      <c r="D24" s="24"/>
      <c r="E24" s="24"/>
      <c r="F24" s="24"/>
      <c r="G24" s="24"/>
      <c r="H24" s="29"/>
    </row>
    <row r="25" ht="15.75" customHeight="1"/>
    <row r="26" ht="15.75" customHeight="1">
      <c r="A26" s="118" t="s">
        <v>246</v>
      </c>
      <c r="B26" s="6"/>
      <c r="C26" s="6"/>
      <c r="D26" s="6"/>
    </row>
    <row r="27" ht="15.75" customHeight="1">
      <c r="A27" s="119" t="s">
        <v>17</v>
      </c>
      <c r="B27" s="120" t="s">
        <v>247</v>
      </c>
      <c r="C27" s="29"/>
      <c r="D27" s="120" t="s">
        <v>248</v>
      </c>
      <c r="E27" s="29"/>
      <c r="F27" s="120" t="s">
        <v>249</v>
      </c>
      <c r="G27" s="24"/>
      <c r="H27" s="29"/>
    </row>
    <row r="28" ht="15.75" customHeight="1">
      <c r="A28" s="30">
        <v>1.0</v>
      </c>
      <c r="B28" s="28" t="str">
        <f>IFERROR(__xludf.DUMMYFUNCTION("FILTER('Diseño'!D:D,'Diseño'!H:H=$C$5)"),"Lenguajes Formales")</f>
        <v>Lenguajes Formales</v>
      </c>
      <c r="C28" s="29"/>
      <c r="D28" s="28" t="str">
        <f>IFERROR(__xludf.DUMMYFUNCTION("FILTER('Diseño'!E:E,'Diseño'!H:H=$C$5)"),"Procesadores de Lenguaje")</f>
        <v>Procesadores de Lenguaje</v>
      </c>
      <c r="E28" s="29"/>
      <c r="F28" s="28" t="str">
        <f>IFERROR(__xludf.DUMMYFUNCTION("FILTER('Diseño'!F:F,'Diseño'!H:H=$C$5)"),"Interprete")</f>
        <v>Interprete</v>
      </c>
      <c r="G28" s="24"/>
      <c r="H28" s="29"/>
    </row>
    <row r="29" ht="15.75" customHeight="1">
      <c r="A29" s="30">
        <v>2.0</v>
      </c>
      <c r="B29" s="28" t="str">
        <f>IFERROR(__xludf.DUMMYFUNCTION("""COMPUTED_VALUE"""),"Lenguajes Formales")</f>
        <v>Lenguajes Formales</v>
      </c>
      <c r="C29" s="29"/>
      <c r="D29" s="28" t="str">
        <f>IFERROR(__xludf.DUMMYFUNCTION("""COMPUTED_VALUE"""),"Procesadores de Lenguaje")</f>
        <v>Procesadores de Lenguaje</v>
      </c>
      <c r="E29" s="29"/>
      <c r="F29" s="28" t="str">
        <f>IFERROR(__xludf.DUMMYFUNCTION("""COMPUTED_VALUE"""),"Compilador")</f>
        <v>Compilador</v>
      </c>
      <c r="G29" s="24"/>
      <c r="H29" s="29"/>
    </row>
    <row r="30" ht="15.75" customHeight="1">
      <c r="A30" s="30">
        <v>3.0</v>
      </c>
      <c r="B30" s="28" t="str">
        <f>IFERROR(__xludf.DUMMYFUNCTION("""COMPUTED_VALUE"""),"Lenguajes Formales")</f>
        <v>Lenguajes Formales</v>
      </c>
      <c r="C30" s="29"/>
      <c r="D30" s="28" t="str">
        <f>IFERROR(__xludf.DUMMYFUNCTION("""COMPUTED_VALUE"""),"Procesadores de Lenguaje")</f>
        <v>Procesadores de Lenguaje</v>
      </c>
      <c r="E30" s="29"/>
      <c r="F30" s="28" t="str">
        <f>IFERROR(__xludf.DUMMYFUNCTION("""COMPUTED_VALUE"""),"Estructura de un compilador")</f>
        <v>Estructura de un compilador</v>
      </c>
      <c r="G30" s="24"/>
      <c r="H30" s="29"/>
    </row>
    <row r="31" ht="15.75" customHeight="1">
      <c r="A31" s="30">
        <v>4.0</v>
      </c>
      <c r="B31" s="28" t="str">
        <f>IFERROR(__xludf.DUMMYFUNCTION("""COMPUTED_VALUE"""),"Lenguajes Formales")</f>
        <v>Lenguajes Formales</v>
      </c>
      <c r="C31" s="29"/>
      <c r="D31" s="28" t="str">
        <f>IFERROR(__xludf.DUMMYFUNCTION("""COMPUTED_VALUE"""),"Procesadores de Lenguaje")</f>
        <v>Procesadores de Lenguaje</v>
      </c>
      <c r="E31" s="29"/>
      <c r="F31" s="28" t="str">
        <f>IFERROR(__xludf.DUMMYFUNCTION("""COMPUTED_VALUE"""),"Diferencias y Ejemplos")</f>
        <v>Diferencias y Ejemplos</v>
      </c>
      <c r="G31" s="24"/>
      <c r="H31" s="29"/>
    </row>
    <row r="32" ht="15.75" customHeight="1">
      <c r="A32" s="30">
        <v>5.0</v>
      </c>
      <c r="B32" s="28" t="str">
        <f>IFERROR(__xludf.DUMMYFUNCTION("""COMPUTED_VALUE"""),"Lenguajes Formales")</f>
        <v>Lenguajes Formales</v>
      </c>
      <c r="C32" s="29"/>
      <c r="D32" s="28" t="str">
        <f>IFERROR(__xludf.DUMMYFUNCTION("""COMPUTED_VALUE"""),"Procesadores de Lenguaje")</f>
        <v>Procesadores de Lenguaje</v>
      </c>
      <c r="E32" s="29"/>
      <c r="F32" s="28" t="str">
        <f>IFERROR(__xludf.DUMMYFUNCTION("""COMPUTED_VALUE"""),"Herramientas")</f>
        <v>Herramientas</v>
      </c>
      <c r="G32" s="24"/>
      <c r="H32" s="29"/>
    </row>
    <row r="33" ht="15.75" customHeight="1">
      <c r="A33" s="30">
        <v>6.0</v>
      </c>
      <c r="B33" s="28" t="str">
        <f>IFERROR(__xludf.DUMMYFUNCTION("""COMPUTED_VALUE"""),"Lenguajes Formales")</f>
        <v>Lenguajes Formales</v>
      </c>
      <c r="C33" s="29"/>
      <c r="D33" s="28" t="str">
        <f>IFERROR(__xludf.DUMMYFUNCTION("""COMPUTED_VALUE"""),"Procesadores de Lenguaje")</f>
        <v>Procesadores de Lenguaje</v>
      </c>
      <c r="E33" s="29"/>
      <c r="F33" s="28" t="str">
        <f>IFERROR(__xludf.DUMMYFUNCTION("""COMPUTED_VALUE"""),"Jerarquia de Chosmky")</f>
        <v>Jerarquia de Chosmky</v>
      </c>
      <c r="G33" s="24"/>
      <c r="H33" s="29"/>
    </row>
    <row r="34" ht="15.75" customHeight="1">
      <c r="A34" s="30">
        <v>7.0</v>
      </c>
      <c r="B34" s="28" t="str">
        <f>IFERROR(__xludf.DUMMYFUNCTION("""COMPUTED_VALUE"""),"Lenguajes Formales")</f>
        <v>Lenguajes Formales</v>
      </c>
      <c r="C34" s="29"/>
      <c r="D34" s="28" t="str">
        <f>IFERROR(__xludf.DUMMYFUNCTION("""COMPUTED_VALUE"""),"Procesadores de Lenguaje")</f>
        <v>Procesadores de Lenguaje</v>
      </c>
      <c r="E34" s="29"/>
      <c r="F34" s="28" t="str">
        <f>IFERROR(__xludf.DUMMYFUNCTION("""COMPUTED_VALUE"""),"Clasificacion de Gramaticas")</f>
        <v>Clasificacion de Gramaticas</v>
      </c>
      <c r="G34" s="24"/>
      <c r="H34" s="29"/>
    </row>
    <row r="35" ht="15.75" customHeight="1"/>
    <row r="36" ht="15.75" customHeight="1">
      <c r="A36" s="118" t="s">
        <v>254</v>
      </c>
    </row>
    <row r="37" ht="15.75" customHeight="1">
      <c r="A37" s="6"/>
      <c r="B37" s="6"/>
      <c r="C37" s="6"/>
      <c r="D37" s="6"/>
      <c r="E37" s="6"/>
      <c r="F37" s="6"/>
      <c r="G37" s="6"/>
      <c r="H37" s="6"/>
    </row>
    <row r="38">
      <c r="A38" s="119" t="s">
        <v>255</v>
      </c>
      <c r="B38" s="119" t="s">
        <v>56</v>
      </c>
      <c r="C38" s="124" t="s">
        <v>256</v>
      </c>
      <c r="D38" s="126" t="s">
        <v>257</v>
      </c>
      <c r="E38" s="24"/>
      <c r="F38" s="24"/>
      <c r="G38" s="24"/>
      <c r="H38" s="29"/>
      <c r="I38" s="127" t="s">
        <v>103</v>
      </c>
    </row>
    <row r="39" ht="15.75" customHeight="1">
      <c r="A39" s="30" t="s">
        <v>258</v>
      </c>
      <c r="B39" s="30" t="s">
        <v>259</v>
      </c>
      <c r="C39" s="30">
        <v>30.0</v>
      </c>
      <c r="D39" s="72">
        <v>20.0</v>
      </c>
      <c r="E39" s="24"/>
      <c r="F39" s="24"/>
      <c r="G39" s="24"/>
      <c r="H39" s="29"/>
      <c r="I39" s="30" t="str">
        <f t="shared" ref="I39:I42" si="1">IF(D39&lt;=C39,"Correcto", "Corregir")</f>
        <v>Correcto</v>
      </c>
    </row>
    <row r="40" ht="15.75" customHeight="1">
      <c r="A40" s="30" t="s">
        <v>260</v>
      </c>
      <c r="B40" s="30" t="s">
        <v>259</v>
      </c>
      <c r="C40" s="30">
        <v>6.0</v>
      </c>
      <c r="D40" s="72">
        <v>10.0</v>
      </c>
      <c r="E40" s="24"/>
      <c r="F40" s="24"/>
      <c r="G40" s="24"/>
      <c r="H40" s="29"/>
      <c r="I40" s="30" t="str">
        <f t="shared" si="1"/>
        <v>Corregir</v>
      </c>
    </row>
    <row r="41" ht="15.75" customHeight="1">
      <c r="A41" s="30" t="s">
        <v>261</v>
      </c>
      <c r="B41" s="30" t="s">
        <v>262</v>
      </c>
      <c r="C41" s="30">
        <v>10.0</v>
      </c>
      <c r="D41" s="72">
        <v>10.0</v>
      </c>
      <c r="E41" s="24"/>
      <c r="F41" s="24"/>
      <c r="G41" s="24"/>
      <c r="H41" s="29"/>
      <c r="I41" s="30" t="str">
        <f t="shared" si="1"/>
        <v>Correcto</v>
      </c>
    </row>
    <row r="42" ht="15.75" customHeight="1">
      <c r="A42" s="30" t="s">
        <v>263</v>
      </c>
      <c r="B42" s="30" t="s">
        <v>259</v>
      </c>
      <c r="C42" s="30">
        <v>30.0</v>
      </c>
      <c r="D42" s="72">
        <v>15.0</v>
      </c>
      <c r="E42" s="24"/>
      <c r="F42" s="24"/>
      <c r="G42" s="24"/>
      <c r="H42" s="29"/>
      <c r="I42" s="30" t="str">
        <f t="shared" si="1"/>
        <v>Correcto</v>
      </c>
    </row>
    <row r="43" ht="15.75" customHeight="1"/>
    <row r="44" ht="15.75" customHeight="1">
      <c r="A44" s="112" t="s">
        <v>264</v>
      </c>
      <c r="G44" s="84" t="s">
        <v>36</v>
      </c>
      <c r="H44" s="113">
        <v>50.0</v>
      </c>
    </row>
    <row r="45" ht="15.75" customHeight="1">
      <c r="G45" s="45" t="s">
        <v>265</v>
      </c>
    </row>
    <row r="46" ht="15.75" customHeight="1">
      <c r="A46" s="45" t="s">
        <v>266</v>
      </c>
    </row>
    <row r="47">
      <c r="A47" s="58" t="s">
        <v>267</v>
      </c>
      <c r="B47" s="72" t="s">
        <v>118</v>
      </c>
      <c r="C47" s="24"/>
      <c r="D47" s="24"/>
      <c r="E47" s="24"/>
      <c r="F47" s="24"/>
      <c r="G47" s="24"/>
      <c r="H47" s="29"/>
    </row>
    <row r="48" ht="15.75" customHeight="1">
      <c r="A48" s="58" t="s">
        <v>8</v>
      </c>
      <c r="B48" s="28" t="s">
        <v>268</v>
      </c>
      <c r="C48" s="24"/>
      <c r="D48" s="24"/>
      <c r="E48" s="24"/>
      <c r="F48" s="24"/>
      <c r="G48" s="24"/>
      <c r="H48" s="29"/>
    </row>
    <row r="49" ht="15.75" customHeight="1">
      <c r="A49" s="58" t="s">
        <v>229</v>
      </c>
      <c r="B49" s="128">
        <v>0.0</v>
      </c>
      <c r="C49" s="24"/>
      <c r="D49" s="24"/>
      <c r="E49" s="24"/>
      <c r="F49" s="24"/>
      <c r="G49" s="24"/>
      <c r="H49" s="29"/>
    </row>
    <row r="50" ht="15.75" customHeight="1">
      <c r="A50" s="58" t="s">
        <v>36</v>
      </c>
      <c r="B50" s="72">
        <v>30.0</v>
      </c>
      <c r="C50" s="24"/>
      <c r="D50" s="24"/>
      <c r="E50" s="24"/>
      <c r="F50" s="24"/>
      <c r="G50" s="24"/>
      <c r="H50" s="29"/>
    </row>
    <row r="51" ht="15.75" customHeight="1">
      <c r="A51" s="129" t="s">
        <v>270</v>
      </c>
      <c r="B51" s="6"/>
      <c r="C51" s="6"/>
      <c r="D51" s="6"/>
      <c r="E51" s="6"/>
      <c r="F51" s="6"/>
      <c r="G51" s="6"/>
      <c r="H51" s="6"/>
    </row>
    <row r="52" ht="15.75" customHeight="1">
      <c r="A52" s="114" t="s">
        <v>271</v>
      </c>
      <c r="B52" s="24"/>
      <c r="C52" s="24"/>
      <c r="D52" s="24"/>
      <c r="E52" s="24"/>
      <c r="F52" s="24"/>
      <c r="G52" s="24"/>
      <c r="H52" s="29"/>
    </row>
    <row r="53" ht="15.75" customHeight="1">
      <c r="A53" s="122" t="s">
        <v>286</v>
      </c>
      <c r="B53" s="100"/>
      <c r="C53" s="100"/>
      <c r="D53" s="100"/>
      <c r="E53" s="100"/>
      <c r="F53" s="100"/>
      <c r="G53" s="100"/>
      <c r="H53" s="101"/>
    </row>
    <row r="54" ht="15.75" customHeight="1">
      <c r="A54" s="131"/>
      <c r="H54" s="132"/>
    </row>
    <row r="55" ht="15.75" customHeight="1">
      <c r="A55" s="102"/>
      <c r="B55" s="103"/>
      <c r="C55" s="103"/>
      <c r="D55" s="103"/>
      <c r="E55" s="103"/>
      <c r="F55" s="103"/>
      <c r="G55" s="103"/>
      <c r="H55" s="104"/>
    </row>
    <row r="56" ht="15.75" customHeight="1"/>
    <row r="57" ht="15.75" customHeight="1">
      <c r="A57" s="45" t="s">
        <v>272</v>
      </c>
    </row>
    <row r="58">
      <c r="A58" s="58" t="s">
        <v>267</v>
      </c>
      <c r="B58" s="28"/>
      <c r="C58" s="24"/>
      <c r="D58" s="24"/>
      <c r="E58" s="24"/>
      <c r="F58" s="24"/>
      <c r="G58" s="24"/>
      <c r="H58" s="29"/>
    </row>
    <row r="59" ht="15.75" customHeight="1">
      <c r="A59" s="58" t="s">
        <v>8</v>
      </c>
      <c r="B59" s="28"/>
      <c r="C59" s="24"/>
      <c r="D59" s="24"/>
      <c r="E59" s="24"/>
      <c r="F59" s="24"/>
      <c r="G59" s="24"/>
      <c r="H59" s="29"/>
    </row>
    <row r="60" ht="15.75" customHeight="1">
      <c r="A60" s="58" t="s">
        <v>229</v>
      </c>
      <c r="B60" s="128"/>
      <c r="C60" s="24"/>
      <c r="D60" s="24"/>
      <c r="E60" s="24"/>
      <c r="F60" s="24"/>
      <c r="G60" s="24"/>
      <c r="H60" s="29"/>
    </row>
    <row r="61" ht="15.75" customHeight="1">
      <c r="A61" s="58" t="s">
        <v>36</v>
      </c>
      <c r="B61" s="128"/>
      <c r="C61" s="24"/>
      <c r="D61" s="24"/>
      <c r="E61" s="24"/>
      <c r="F61" s="24"/>
      <c r="G61" s="24"/>
      <c r="H61" s="29"/>
    </row>
    <row r="62" ht="15.75" customHeight="1">
      <c r="A62" s="133" t="s">
        <v>273</v>
      </c>
      <c r="B62" s="6"/>
      <c r="C62" s="6"/>
      <c r="D62" s="6"/>
      <c r="E62" s="6"/>
      <c r="F62" s="6"/>
      <c r="G62" s="6"/>
      <c r="H62" s="6"/>
    </row>
    <row r="63" ht="15.75" customHeight="1">
      <c r="A63" s="114" t="s">
        <v>271</v>
      </c>
      <c r="B63" s="24"/>
      <c r="C63" s="24"/>
      <c r="D63" s="24"/>
      <c r="E63" s="24"/>
      <c r="F63" s="24"/>
      <c r="G63" s="24"/>
      <c r="H63" s="29"/>
    </row>
    <row r="64" ht="15.75" customHeight="1">
      <c r="A64" s="130"/>
      <c r="B64" s="100"/>
      <c r="C64" s="100"/>
      <c r="D64" s="100"/>
      <c r="E64" s="100"/>
      <c r="F64" s="100"/>
      <c r="G64" s="100"/>
      <c r="H64" s="101"/>
    </row>
    <row r="65" ht="15.75" customHeight="1">
      <c r="A65" s="131"/>
      <c r="H65" s="132"/>
    </row>
    <row r="66" ht="15.75" customHeight="1">
      <c r="A66" s="102"/>
      <c r="B66" s="103"/>
      <c r="C66" s="103"/>
      <c r="D66" s="103"/>
      <c r="E66" s="103"/>
      <c r="F66" s="103"/>
      <c r="G66" s="103"/>
      <c r="H66" s="104"/>
    </row>
    <row r="67" ht="15.75" customHeight="1"/>
    <row r="68" ht="15.75" customHeight="1">
      <c r="A68" s="112" t="s">
        <v>274</v>
      </c>
      <c r="G68" s="84" t="s">
        <v>36</v>
      </c>
      <c r="H68" s="113">
        <v>2.0</v>
      </c>
    </row>
    <row r="69" ht="15.75" customHeight="1">
      <c r="G69" s="45" t="s">
        <v>275</v>
      </c>
    </row>
    <row r="70" ht="15.75" customHeight="1">
      <c r="A70" s="58" t="s">
        <v>36</v>
      </c>
      <c r="B70" s="128"/>
      <c r="C70" s="24"/>
      <c r="D70" s="24"/>
      <c r="E70" s="24"/>
      <c r="F70" s="24"/>
      <c r="G70" s="24"/>
      <c r="H70" s="29"/>
    </row>
    <row r="71" ht="15.75" customHeight="1">
      <c r="A71" s="126" t="s">
        <v>276</v>
      </c>
      <c r="B71" s="24"/>
      <c r="C71" s="24"/>
      <c r="D71" s="24"/>
      <c r="E71" s="24"/>
      <c r="F71" s="24"/>
      <c r="G71" s="24"/>
      <c r="H71" s="29"/>
    </row>
    <row r="72" ht="15.75" customHeight="1">
      <c r="A72" s="130"/>
      <c r="B72" s="100"/>
      <c r="C72" s="100"/>
      <c r="D72" s="100"/>
      <c r="E72" s="100"/>
      <c r="F72" s="100"/>
      <c r="G72" s="100"/>
      <c r="H72" s="101"/>
    </row>
    <row r="73" ht="15.75" customHeight="1">
      <c r="A73" s="102"/>
      <c r="B73" s="103"/>
      <c r="C73" s="103"/>
      <c r="D73" s="103"/>
      <c r="E73" s="103"/>
      <c r="F73" s="103"/>
      <c r="G73" s="103"/>
      <c r="H73" s="104"/>
    </row>
    <row r="74" ht="15.75" customHeight="1">
      <c r="A74" s="45" t="s">
        <v>277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228</v>
      </c>
    </row>
    <row r="3" ht="15.75" customHeight="1"/>
    <row r="4" ht="15.75" customHeight="1">
      <c r="B4" s="18" t="s">
        <v>1</v>
      </c>
      <c r="C4" s="110" t="str">
        <f>'Diseño'!C4</f>
        <v>796 - Lenguajes Formales y de Programación</v>
      </c>
      <c r="D4" s="24"/>
      <c r="E4" s="24"/>
      <c r="F4" s="24"/>
      <c r="G4" s="29"/>
    </row>
    <row r="5" ht="15.75" customHeight="1">
      <c r="B5" s="30" t="s">
        <v>24</v>
      </c>
      <c r="C5" s="28">
        <v>7.0</v>
      </c>
      <c r="D5" s="24"/>
      <c r="E5" s="24"/>
      <c r="F5" s="24"/>
      <c r="G5" s="29"/>
    </row>
    <row r="6" ht="15.75" customHeight="1">
      <c r="B6" s="89" t="s">
        <v>27</v>
      </c>
      <c r="C6" s="28">
        <f>H10+H21+H53+H77</f>
        <v>105</v>
      </c>
      <c r="D6" s="24"/>
      <c r="E6" s="24"/>
      <c r="F6" s="24"/>
      <c r="G6" s="29"/>
      <c r="I6" s="6"/>
    </row>
    <row r="7" ht="15.75" customHeight="1">
      <c r="B7" s="89" t="s">
        <v>229</v>
      </c>
      <c r="C7" s="28">
        <f>B58+B69</f>
        <v>2</v>
      </c>
      <c r="D7" s="24"/>
      <c r="E7" s="24"/>
      <c r="F7" s="24"/>
      <c r="G7" s="29"/>
    </row>
    <row r="8" ht="15.75" customHeight="1">
      <c r="B8" s="89" t="s">
        <v>230</v>
      </c>
      <c r="C8" s="111" t="str">
        <f>IF(H53&lt;=0, "❌ ERROR: La Actividad 1 debe tener un tiempo mayor a 0.", IF(H21&gt;60, "❌ ERROR: El 'Área de Conocimiento' no puede exceder los 60 min.", IF((H10+H21+H53)&lt;100, "❌ ERROR: El tiempo total debe ser de al menos 100 min.", "✅ VALIDACIÓN CORRECTA")))</f>
        <v>✅ VALIDACIÓN CORRECTA</v>
      </c>
      <c r="D8" s="24"/>
      <c r="E8" s="24"/>
      <c r="F8" s="24"/>
      <c r="G8" s="29"/>
      <c r="I8" s="6"/>
      <c r="J8" s="6"/>
      <c r="K8" s="6"/>
    </row>
    <row r="9" ht="15.75" customHeight="1"/>
    <row r="10" ht="15.75" customHeight="1">
      <c r="A10" s="112" t="s">
        <v>231</v>
      </c>
      <c r="G10" s="84" t="s">
        <v>36</v>
      </c>
      <c r="H10" s="113">
        <v>5.0</v>
      </c>
    </row>
    <row r="11" ht="15.75" customHeight="1">
      <c r="G11" s="45" t="s">
        <v>232</v>
      </c>
    </row>
    <row r="12" ht="15.75" customHeight="1">
      <c r="A12" s="58" t="s">
        <v>233</v>
      </c>
      <c r="B12" s="72" t="s">
        <v>291</v>
      </c>
      <c r="C12" s="24"/>
      <c r="D12" s="24"/>
      <c r="E12" s="24"/>
      <c r="F12" s="24"/>
      <c r="G12" s="24"/>
      <c r="H12" s="29"/>
    </row>
    <row r="13" ht="15.75" customHeight="1">
      <c r="A13" s="68" t="s">
        <v>36</v>
      </c>
      <c r="B13" s="72" t="s">
        <v>288</v>
      </c>
      <c r="C13" s="24"/>
      <c r="D13" s="24"/>
      <c r="E13" s="24"/>
      <c r="F13" s="24"/>
      <c r="G13" s="24"/>
      <c r="H13" s="29"/>
    </row>
    <row r="14" ht="15.75" customHeight="1">
      <c r="A14" s="114" t="s">
        <v>235</v>
      </c>
      <c r="B14" s="24"/>
      <c r="C14" s="24"/>
      <c r="D14" s="24"/>
      <c r="E14" s="24"/>
      <c r="F14" s="24"/>
      <c r="G14" s="24"/>
      <c r="H14" s="29"/>
    </row>
    <row r="15" ht="15.75" customHeight="1">
      <c r="A15" s="116" t="s">
        <v>292</v>
      </c>
      <c r="B15" s="100"/>
      <c r="C15" s="100"/>
      <c r="D15" s="100"/>
      <c r="E15" s="100"/>
      <c r="F15" s="100"/>
      <c r="G15" s="100"/>
      <c r="H15" s="101"/>
    </row>
    <row r="16" ht="15.75" customHeight="1">
      <c r="A16" s="102"/>
      <c r="B16" s="103"/>
      <c r="C16" s="103"/>
      <c r="D16" s="103"/>
      <c r="E16" s="103"/>
      <c r="F16" s="103"/>
      <c r="G16" s="103"/>
      <c r="H16" s="104"/>
    </row>
    <row r="17" ht="15.75" customHeight="1">
      <c r="A17" s="114" t="s">
        <v>238</v>
      </c>
      <c r="B17" s="24"/>
      <c r="C17" s="24"/>
      <c r="D17" s="24"/>
      <c r="E17" s="24"/>
      <c r="F17" s="24"/>
      <c r="G17" s="24"/>
      <c r="H17" s="29"/>
    </row>
    <row r="18" ht="15.75" customHeight="1">
      <c r="A18" s="116" t="s">
        <v>293</v>
      </c>
      <c r="B18" s="100"/>
      <c r="C18" s="100"/>
      <c r="D18" s="100"/>
      <c r="E18" s="100"/>
      <c r="F18" s="100"/>
      <c r="G18" s="100"/>
      <c r="H18" s="101"/>
    </row>
    <row r="19" ht="15.75" customHeight="1">
      <c r="A19" s="102"/>
      <c r="B19" s="103"/>
      <c r="C19" s="103"/>
      <c r="D19" s="103"/>
      <c r="E19" s="103"/>
      <c r="F19" s="103"/>
      <c r="G19" s="103"/>
      <c r="H19" s="104"/>
    </row>
    <row r="20" ht="15.75" customHeight="1"/>
    <row r="21" ht="15.75" customHeight="1">
      <c r="A21" s="112" t="s">
        <v>241</v>
      </c>
      <c r="G21" s="84" t="s">
        <v>36</v>
      </c>
      <c r="H21" s="113">
        <v>60.0</v>
      </c>
      <c r="I21" s="6"/>
    </row>
    <row r="22" ht="15.75" customHeight="1">
      <c r="G22" s="45" t="s">
        <v>243</v>
      </c>
    </row>
    <row r="23" ht="15.75" customHeight="1">
      <c r="A23" s="58" t="s">
        <v>244</v>
      </c>
      <c r="B23" s="72" t="s">
        <v>66</v>
      </c>
      <c r="C23" s="24"/>
      <c r="D23" s="24"/>
      <c r="E23" s="24"/>
      <c r="F23" s="24"/>
      <c r="G23" s="24"/>
      <c r="H23" s="29"/>
    </row>
    <row r="24" ht="15.75" customHeight="1">
      <c r="A24" s="58" t="s">
        <v>244</v>
      </c>
      <c r="B24" s="72" t="s">
        <v>118</v>
      </c>
      <c r="C24" s="24"/>
      <c r="D24" s="24"/>
      <c r="E24" s="24"/>
      <c r="F24" s="24"/>
      <c r="G24" s="24"/>
      <c r="H24" s="29"/>
    </row>
    <row r="25" ht="15.75" customHeight="1"/>
    <row r="26" ht="15.75" customHeight="1">
      <c r="A26" s="118" t="s">
        <v>246</v>
      </c>
      <c r="B26" s="6"/>
      <c r="C26" s="6"/>
      <c r="D26" s="6"/>
    </row>
    <row r="27" ht="15.75" customHeight="1">
      <c r="A27" s="119" t="s">
        <v>17</v>
      </c>
      <c r="B27" s="120" t="s">
        <v>247</v>
      </c>
      <c r="C27" s="29"/>
      <c r="D27" s="120" t="s">
        <v>248</v>
      </c>
      <c r="E27" s="29"/>
      <c r="F27" s="120" t="s">
        <v>249</v>
      </c>
      <c r="G27" s="24"/>
      <c r="H27" s="29"/>
    </row>
    <row r="28" ht="15.75" customHeight="1">
      <c r="A28" s="39">
        <v>1.0</v>
      </c>
      <c r="B28" s="28" t="str">
        <f>IFERROR(__xludf.DUMMYFUNCTION("FILTER('Diseño'!D:D,'Diseño'!H:H=$C$5)"),"Analisis Lexico")</f>
        <v>Analisis Lexico</v>
      </c>
      <c r="C28" s="29"/>
      <c r="D28" s="28" t="str">
        <f>IFERROR(__xludf.DUMMYFUNCTION("FILTER('Diseño'!E:E,'Diseño'!H:H=$C$5)"),"Definicion y Funcion del analizador lexico")</f>
        <v>Definicion y Funcion del analizador lexico</v>
      </c>
      <c r="E28" s="29"/>
      <c r="F28" s="28" t="str">
        <f>IFERROR(__xludf.DUMMYFUNCTION("FILTER('Diseño'!F:F,'Diseño'!H:H=$C$5)"),"Patrones")</f>
        <v>Patrones</v>
      </c>
      <c r="G28" s="24"/>
      <c r="H28" s="29"/>
    </row>
    <row r="29" ht="15.75" customHeight="1">
      <c r="A29" s="39">
        <v>2.0</v>
      </c>
      <c r="B29" s="72" t="str">
        <f>IFERROR(__xludf.DUMMYFUNCTION("""COMPUTED_VALUE"""),"Analisis Lexico")</f>
        <v>Analisis Lexico</v>
      </c>
      <c r="C29" s="29"/>
      <c r="D29" s="39" t="str">
        <f>IFERROR(__xludf.DUMMYFUNCTION("""COMPUTED_VALUE"""),"Definicion y Funcion del analizador lexico")</f>
        <v>Definicion y Funcion del analizador lexico</v>
      </c>
      <c r="E29" s="30"/>
      <c r="F29" s="72" t="str">
        <f>IFERROR(__xludf.DUMMYFUNCTION("""COMPUTED_VALUE"""),"Tokens")</f>
        <v>Tokens</v>
      </c>
      <c r="G29" s="24"/>
      <c r="H29" s="29"/>
    </row>
    <row r="30" ht="15.75" customHeight="1">
      <c r="A30" s="39">
        <v>3.0</v>
      </c>
      <c r="B30" s="72" t="str">
        <f>IFERROR(__xludf.DUMMYFUNCTION("""COMPUTED_VALUE"""),"Analisis Lexico")</f>
        <v>Analisis Lexico</v>
      </c>
      <c r="C30" s="29"/>
      <c r="D30" s="39" t="str">
        <f>IFERROR(__xludf.DUMMYFUNCTION("""COMPUTED_VALUE"""),"Definicion y Funcion del analizador lexico")</f>
        <v>Definicion y Funcion del analizador lexico</v>
      </c>
      <c r="E30" s="30"/>
      <c r="F30" s="72" t="str">
        <f>IFERROR(__xludf.DUMMYFUNCTION("""COMPUTED_VALUE"""),"Lexemas")</f>
        <v>Lexemas</v>
      </c>
      <c r="G30" s="24"/>
      <c r="H30" s="29"/>
    </row>
    <row r="31" ht="15.75" customHeight="1">
      <c r="A31" s="39">
        <v>4.0</v>
      </c>
      <c r="B31" s="72" t="str">
        <f>IFERROR(__xludf.DUMMYFUNCTION("""COMPUTED_VALUE"""),"Analisis Lexico")</f>
        <v>Analisis Lexico</v>
      </c>
      <c r="C31" s="29"/>
      <c r="D31" s="39" t="str">
        <f>IFERROR(__xludf.DUMMYFUNCTION("""COMPUTED_VALUE"""),"Definicion y Funcion del analizador lexico")</f>
        <v>Definicion y Funcion del analizador lexico</v>
      </c>
      <c r="E31" s="30"/>
      <c r="F31" s="72" t="str">
        <f>IFERROR(__xludf.DUMMYFUNCTION("""COMPUTED_VALUE"""),"Errores Lexicos")</f>
        <v>Errores Lexicos</v>
      </c>
      <c r="G31" s="24"/>
      <c r="H31" s="29"/>
    </row>
    <row r="32" ht="15.75" customHeight="1">
      <c r="A32" s="39">
        <v>5.0</v>
      </c>
      <c r="B32" s="72" t="str">
        <f>IFERROR(__xludf.DUMMYFUNCTION("""COMPUTED_VALUE"""),"Analisis Lexico")</f>
        <v>Analisis Lexico</v>
      </c>
      <c r="C32" s="29"/>
      <c r="D32" s="39" t="str">
        <f>IFERROR(__xludf.DUMMYFUNCTION("""COMPUTED_VALUE"""),"Definicion y Funcion del analizador lexico")</f>
        <v>Definicion y Funcion del analizador lexico</v>
      </c>
      <c r="E32" s="30"/>
      <c r="F32" s="39" t="str">
        <f>IFERROR(__xludf.DUMMYFUNCTION("""COMPUTED_VALUE"""),"Ejemplos de tokens en diferentes lenguajes")</f>
        <v>Ejemplos de tokens en diferentes lenguajes</v>
      </c>
      <c r="G32" s="30"/>
      <c r="H32" s="30"/>
    </row>
    <row r="33" ht="15.75" customHeight="1">
      <c r="A33" s="39">
        <v>6.0</v>
      </c>
      <c r="B33" s="39" t="str">
        <f>IFERROR(__xludf.DUMMYFUNCTION("""COMPUTED_VALUE"""),"Analisis Lexico")</f>
        <v>Analisis Lexico</v>
      </c>
      <c r="C33" s="30"/>
      <c r="D33" s="39" t="str">
        <f>IFERROR(__xludf.DUMMYFUNCTION("""COMPUTED_VALUE"""),"Operaciones Entre Lenguajes y Expresiones regulares")</f>
        <v>Operaciones Entre Lenguajes y Expresiones regulares</v>
      </c>
      <c r="E33" s="30"/>
      <c r="F33" s="39" t="str">
        <f>IFERROR(__xludf.DUMMYFUNCTION("""COMPUTED_VALUE"""),"Interoperabilidad entre Lenguajes")</f>
        <v>Interoperabilidad entre Lenguajes</v>
      </c>
      <c r="G33" s="30"/>
      <c r="H33" s="30"/>
    </row>
    <row r="34" ht="15.75" customHeight="1">
      <c r="A34" s="39">
        <v>7.0</v>
      </c>
      <c r="B34" s="39" t="str">
        <f>IFERROR(__xludf.DUMMYFUNCTION("""COMPUTED_VALUE"""),"Analisis Lexico")</f>
        <v>Analisis Lexico</v>
      </c>
      <c r="C34" s="30"/>
      <c r="D34" s="39" t="str">
        <f>IFERROR(__xludf.DUMMYFUNCTION("""COMPUTED_VALUE"""),"Operaciones Entre Lenguajes y Expresiones regulares")</f>
        <v>Operaciones Entre Lenguajes y Expresiones regulares</v>
      </c>
      <c r="E34" s="30"/>
      <c r="F34" s="72" t="str">
        <f>IFERROR(__xludf.DUMMYFUNCTION("""COMPUTED_VALUE"""),"Concepto de interoperabilidad")</f>
        <v>Concepto de interoperabilidad</v>
      </c>
      <c r="G34" s="24"/>
      <c r="H34" s="29"/>
    </row>
    <row r="35" ht="15.75" customHeight="1">
      <c r="A35" s="39">
        <v>8.0</v>
      </c>
      <c r="B35" s="87" t="str">
        <f>IFERROR(__xludf.DUMMYFUNCTION("""COMPUTED_VALUE"""),"Analisis Lexico")</f>
        <v>Analisis Lexico</v>
      </c>
      <c r="C35" s="87"/>
      <c r="D35" s="87" t="str">
        <f>IFERROR(__xludf.DUMMYFUNCTION("""COMPUTED_VALUE"""),"Operaciones Entre Lenguajes y Expresiones regulares")</f>
        <v>Operaciones Entre Lenguajes y Expresiones regulares</v>
      </c>
      <c r="E35" s="87"/>
      <c r="F35" s="136" t="str">
        <f>IFERROR(__xludf.DUMMYFUNCTION("""COMPUTED_VALUE"""),"Traducción y Compilación:Proceso de traducción de un lenguaje a otro")</f>
        <v>Traducción y Compilación:Proceso de traducción de un lenguaje a otro</v>
      </c>
      <c r="G35" s="24"/>
      <c r="H35" s="29"/>
    </row>
    <row r="36" ht="15.75" customHeight="1">
      <c r="A36" s="39">
        <v>9.0</v>
      </c>
      <c r="B36" s="87" t="str">
        <f>IFERROR(__xludf.DUMMYFUNCTION("""COMPUTED_VALUE"""),"Analisis Lexico")</f>
        <v>Analisis Lexico</v>
      </c>
      <c r="C36" s="87"/>
      <c r="D36" s="87" t="str">
        <f>IFERROR(__xludf.DUMMYFUNCTION("""COMPUTED_VALUE"""),"Operaciones Entre Lenguajes y Expresiones regulares")</f>
        <v>Operaciones Entre Lenguajes y Expresiones regulares</v>
      </c>
      <c r="E36" s="87"/>
      <c r="F36" s="87" t="str">
        <f>IFERROR(__xludf.DUMMYFUNCTION("""COMPUTED_VALUE"""),"Buenas Prácticas en Interoperabilidad")</f>
        <v>Buenas Prácticas en Interoperabilidad</v>
      </c>
      <c r="G36" s="87"/>
      <c r="H36" s="87"/>
    </row>
    <row r="37" ht="15.75" customHeight="1">
      <c r="A37" s="39">
        <v>10.0</v>
      </c>
      <c r="B37" s="87" t="str">
        <f>IFERROR(__xludf.DUMMYFUNCTION("""COMPUTED_VALUE"""),"Analisis Lexico")</f>
        <v>Analisis Lexico</v>
      </c>
      <c r="C37" s="87"/>
      <c r="D37" s="87" t="str">
        <f>IFERROR(__xludf.DUMMYFUNCTION("""COMPUTED_VALUE"""),"Operaciones Entre Lenguajes y Expresiones regulares")</f>
        <v>Operaciones Entre Lenguajes y Expresiones regulares</v>
      </c>
      <c r="E37" s="87"/>
      <c r="F37" s="87" t="str">
        <f>IFERROR(__xludf.DUMMYFUNCTION("""COMPUTED_VALUE"""),"¿Qué son las expresiones regulares?")</f>
        <v>¿Qué son las expresiones regulares?</v>
      </c>
      <c r="G37" s="87"/>
      <c r="H37" s="87"/>
    </row>
    <row r="38">
      <c r="A38" s="39">
        <v>11.0</v>
      </c>
      <c r="B38" s="87" t="str">
        <f>IFERROR(__xludf.DUMMYFUNCTION("""COMPUTED_VALUE"""),"Analisis Lexico")</f>
        <v>Analisis Lexico</v>
      </c>
      <c r="C38" s="87"/>
      <c r="D38" s="87" t="str">
        <f>IFERROR(__xludf.DUMMYFUNCTION("""COMPUTED_VALUE"""),"Operaciones Entre Lenguajes y Expresiones regulares")</f>
        <v>Operaciones Entre Lenguajes y Expresiones regulares</v>
      </c>
      <c r="E38" s="87"/>
      <c r="F38" s="136" t="str">
        <f>IFERROR(__xludf.DUMMYFUNCTION("""COMPUTED_VALUE"""),"Aplicaciones de Expresiones Regulares en Análisis Léxico")</f>
        <v>Aplicaciones de Expresiones Regulares en Análisis Léxico</v>
      </c>
      <c r="G38" s="24"/>
      <c r="H38" s="29"/>
    </row>
    <row r="39" ht="15.75" customHeight="1">
      <c r="A39" s="39">
        <v>12.0</v>
      </c>
      <c r="B39" s="87" t="str">
        <f>IFERROR(__xludf.DUMMYFUNCTION("""COMPUTED_VALUE"""),"Analisis Lexico")</f>
        <v>Analisis Lexico</v>
      </c>
      <c r="C39" s="87"/>
      <c r="D39" s="87" t="str">
        <f>IFERROR(__xludf.DUMMYFUNCTION("""COMPUTED_VALUE"""),"Operaciones Entre Lenguajes y Expresiones regulares")</f>
        <v>Operaciones Entre Lenguajes y Expresiones regulares</v>
      </c>
      <c r="E39" s="87"/>
      <c r="F39" s="87" t="str">
        <f>IFERROR(__xludf.DUMMYFUNCTION("""COMPUTED_VALUE"""),"Diagrama de transición de estados")</f>
        <v>Diagrama de transición de estados</v>
      </c>
      <c r="G39" s="87"/>
      <c r="H39" s="87"/>
    </row>
    <row r="40" ht="15.75" customHeight="1">
      <c r="A40" s="39">
        <v>13.0</v>
      </c>
      <c r="B40" s="87" t="str">
        <f>IFERROR(__xludf.DUMMYFUNCTION("""COMPUTED_VALUE"""),"Analisis Lexico")</f>
        <v>Analisis Lexico</v>
      </c>
      <c r="C40" s="87"/>
      <c r="D40" s="87" t="str">
        <f>IFERROR(__xludf.DUMMYFUNCTION("""COMPUTED_VALUE"""),"Operaciones Entre Lenguajes y Expresiones regulares")</f>
        <v>Operaciones Entre Lenguajes y Expresiones regulares</v>
      </c>
      <c r="E40" s="87"/>
      <c r="F40" s="136" t="str">
        <f>IFERROR(__xludf.DUMMYFUNCTION("""COMPUTED_VALUE"""),"Tablas de Transicion")</f>
        <v>Tablas de Transicion</v>
      </c>
      <c r="G40" s="24"/>
      <c r="H40" s="29"/>
    </row>
    <row r="41" ht="15.75" customHeight="1"/>
    <row r="42" ht="15.75" customHeight="1"/>
    <row r="43" ht="15.75" customHeight="1"/>
    <row r="44" ht="15.75" customHeight="1"/>
    <row r="45" ht="15.75" customHeight="1">
      <c r="A45" s="118" t="s">
        <v>254</v>
      </c>
    </row>
    <row r="46" ht="15.75" customHeight="1">
      <c r="A46" s="6"/>
      <c r="B46" s="6"/>
      <c r="C46" s="6"/>
      <c r="D46" s="6"/>
      <c r="E46" s="6"/>
      <c r="F46" s="6"/>
      <c r="G46" s="6"/>
      <c r="H46" s="6"/>
    </row>
    <row r="47">
      <c r="A47" s="119" t="s">
        <v>255</v>
      </c>
      <c r="B47" s="119" t="s">
        <v>56</v>
      </c>
      <c r="C47" s="124" t="s">
        <v>256</v>
      </c>
      <c r="D47" s="126" t="s">
        <v>257</v>
      </c>
      <c r="E47" s="24"/>
      <c r="F47" s="24"/>
      <c r="G47" s="24"/>
      <c r="H47" s="29"/>
      <c r="I47" s="127" t="s">
        <v>103</v>
      </c>
    </row>
    <row r="48" ht="15.75" customHeight="1">
      <c r="A48" s="39" t="s">
        <v>258</v>
      </c>
      <c r="B48" s="39" t="s">
        <v>259</v>
      </c>
      <c r="C48" s="39" t="s">
        <v>294</v>
      </c>
      <c r="D48" s="72" t="s">
        <v>295</v>
      </c>
      <c r="E48" s="138"/>
      <c r="F48" s="138"/>
      <c r="G48" s="138"/>
      <c r="H48" s="137"/>
      <c r="I48" s="39" t="s">
        <v>303</v>
      </c>
    </row>
    <row r="49" ht="15.75" customHeight="1">
      <c r="A49" s="39" t="s">
        <v>260</v>
      </c>
      <c r="B49" s="39" t="s">
        <v>259</v>
      </c>
      <c r="C49" s="39" t="s">
        <v>296</v>
      </c>
      <c r="D49" s="72" t="s">
        <v>297</v>
      </c>
      <c r="E49" s="138"/>
      <c r="F49" s="138"/>
      <c r="G49" s="138"/>
      <c r="H49" s="137"/>
      <c r="I49" s="30" t="str">
        <f>IF(D49&lt;=C49,"Correcto", "Corregir")</f>
        <v>Correcto</v>
      </c>
    </row>
    <row r="50" ht="15.75" customHeight="1">
      <c r="A50" s="39" t="s">
        <v>261</v>
      </c>
      <c r="B50" s="39" t="s">
        <v>262</v>
      </c>
      <c r="C50" s="39" t="s">
        <v>298</v>
      </c>
      <c r="D50" s="72" t="s">
        <v>299</v>
      </c>
      <c r="E50" s="138"/>
      <c r="F50" s="138"/>
      <c r="G50" s="138"/>
      <c r="H50" s="137"/>
      <c r="I50" s="39" t="s">
        <v>303</v>
      </c>
    </row>
    <row r="51" ht="15.75" customHeight="1">
      <c r="A51" s="39" t="s">
        <v>263</v>
      </c>
      <c r="B51" s="39" t="s">
        <v>259</v>
      </c>
      <c r="C51" s="39" t="s">
        <v>296</v>
      </c>
      <c r="D51" s="72" t="s">
        <v>297</v>
      </c>
      <c r="E51" s="138"/>
      <c r="F51" s="138"/>
      <c r="G51" s="138"/>
      <c r="H51" s="137"/>
      <c r="I51" s="30" t="str">
        <f>IF(D51&lt;=C51,"Correcto", "Corregir")</f>
        <v>Correcto</v>
      </c>
    </row>
    <row r="52" ht="15.75" customHeight="1"/>
    <row r="53" ht="15.75" customHeight="1">
      <c r="A53" s="112" t="s">
        <v>264</v>
      </c>
      <c r="G53" s="84" t="s">
        <v>36</v>
      </c>
      <c r="H53" s="113">
        <v>40.0</v>
      </c>
    </row>
    <row r="54" ht="15.75" customHeight="1">
      <c r="G54" s="45" t="s">
        <v>265</v>
      </c>
    </row>
    <row r="55" ht="15.75" customHeight="1">
      <c r="A55" s="45" t="s">
        <v>266</v>
      </c>
    </row>
    <row r="56" ht="15.75" customHeight="1">
      <c r="A56" s="58" t="s">
        <v>267</v>
      </c>
      <c r="B56" s="72" t="s">
        <v>96</v>
      </c>
      <c r="C56" s="24"/>
      <c r="D56" s="24"/>
      <c r="E56" s="24"/>
      <c r="F56" s="24"/>
      <c r="G56" s="24"/>
      <c r="H56" s="29"/>
    </row>
    <row r="57" ht="15.75" customHeight="1">
      <c r="A57" s="58" t="s">
        <v>8</v>
      </c>
      <c r="B57" s="72" t="s">
        <v>300</v>
      </c>
      <c r="C57" s="24"/>
      <c r="D57" s="24"/>
      <c r="E57" s="24"/>
      <c r="F57" s="24"/>
      <c r="G57" s="24"/>
      <c r="H57" s="29"/>
    </row>
    <row r="58">
      <c r="A58" s="58" t="s">
        <v>229</v>
      </c>
      <c r="B58" s="134">
        <v>2.0</v>
      </c>
      <c r="C58" s="24"/>
      <c r="D58" s="24"/>
      <c r="E58" s="24"/>
      <c r="F58" s="24"/>
      <c r="G58" s="24"/>
      <c r="H58" s="29"/>
    </row>
    <row r="59" ht="15.75" customHeight="1">
      <c r="A59" s="58" t="s">
        <v>36</v>
      </c>
      <c r="B59" s="72" t="s">
        <v>301</v>
      </c>
      <c r="C59" s="24"/>
      <c r="D59" s="24"/>
      <c r="E59" s="24"/>
      <c r="F59" s="24"/>
      <c r="G59" s="24"/>
      <c r="H59" s="29"/>
    </row>
    <row r="60" ht="15.75" customHeight="1">
      <c r="A60" s="129" t="s">
        <v>270</v>
      </c>
      <c r="B60" s="6"/>
      <c r="C60" s="6"/>
      <c r="D60" s="6"/>
      <c r="E60" s="6"/>
      <c r="F60" s="6"/>
      <c r="G60" s="6"/>
      <c r="H60" s="6"/>
    </row>
    <row r="61" ht="15.75" customHeight="1">
      <c r="A61" s="114" t="s">
        <v>271</v>
      </c>
      <c r="B61" s="24"/>
      <c r="C61" s="24"/>
      <c r="D61" s="24"/>
      <c r="E61" s="24"/>
      <c r="F61" s="24"/>
      <c r="G61" s="24"/>
      <c r="H61" s="29"/>
    </row>
    <row r="62" ht="15.75" customHeight="1">
      <c r="A62" s="116" t="s">
        <v>304</v>
      </c>
      <c r="B62" s="100"/>
      <c r="C62" s="100"/>
      <c r="D62" s="100"/>
      <c r="E62" s="100"/>
      <c r="F62" s="100"/>
      <c r="G62" s="100"/>
      <c r="H62" s="101"/>
    </row>
    <row r="63" ht="15.75" customHeight="1">
      <c r="A63" s="131"/>
      <c r="H63" s="132"/>
    </row>
    <row r="64" ht="15.75" customHeight="1">
      <c r="A64" s="102"/>
      <c r="B64" s="103"/>
      <c r="C64" s="103"/>
      <c r="D64" s="103"/>
      <c r="E64" s="103"/>
      <c r="F64" s="103"/>
      <c r="G64" s="103"/>
      <c r="H64" s="104"/>
    </row>
    <row r="65" ht="15.75" customHeight="1"/>
    <row r="66" ht="15.75" customHeight="1">
      <c r="A66" s="45" t="s">
        <v>272</v>
      </c>
    </row>
    <row r="67" ht="15.75" customHeight="1">
      <c r="A67" s="58" t="s">
        <v>267</v>
      </c>
      <c r="B67" s="28"/>
      <c r="C67" s="24"/>
      <c r="D67" s="24"/>
      <c r="E67" s="24"/>
      <c r="F67" s="24"/>
      <c r="G67" s="24"/>
      <c r="H67" s="29"/>
    </row>
    <row r="68" ht="15.75" customHeight="1">
      <c r="A68" s="58" t="s">
        <v>8</v>
      </c>
      <c r="B68" s="28"/>
      <c r="C68" s="24"/>
      <c r="D68" s="24"/>
      <c r="E68" s="24"/>
      <c r="F68" s="24"/>
      <c r="G68" s="24"/>
      <c r="H68" s="29"/>
    </row>
    <row r="69" ht="15.75" customHeight="1">
      <c r="A69" s="58" t="s">
        <v>229</v>
      </c>
      <c r="B69" s="128"/>
      <c r="C69" s="24"/>
      <c r="D69" s="24"/>
      <c r="E69" s="24"/>
      <c r="F69" s="24"/>
      <c r="G69" s="24"/>
      <c r="H69" s="29"/>
    </row>
    <row r="70" ht="15.75" customHeight="1">
      <c r="A70" s="58" t="s">
        <v>36</v>
      </c>
      <c r="B70" s="128"/>
      <c r="C70" s="24"/>
      <c r="D70" s="24"/>
      <c r="E70" s="24"/>
      <c r="F70" s="24"/>
      <c r="G70" s="24"/>
      <c r="H70" s="29"/>
    </row>
    <row r="71" ht="15.75" customHeight="1">
      <c r="A71" s="133" t="s">
        <v>273</v>
      </c>
      <c r="B71" s="6"/>
      <c r="C71" s="6"/>
      <c r="D71" s="6"/>
      <c r="E71" s="6"/>
      <c r="F71" s="6"/>
      <c r="G71" s="6"/>
      <c r="H71" s="6"/>
    </row>
    <row r="72" ht="15.75" customHeight="1">
      <c r="A72" s="114" t="s">
        <v>271</v>
      </c>
      <c r="B72" s="24"/>
      <c r="C72" s="24"/>
      <c r="D72" s="24"/>
      <c r="E72" s="24"/>
      <c r="F72" s="24"/>
      <c r="G72" s="24"/>
      <c r="H72" s="29"/>
    </row>
    <row r="73" ht="15.75" customHeight="1">
      <c r="A73" s="130"/>
      <c r="B73" s="100"/>
      <c r="C73" s="100"/>
      <c r="D73" s="100"/>
      <c r="E73" s="100"/>
      <c r="F73" s="100"/>
      <c r="G73" s="100"/>
      <c r="H73" s="101"/>
    </row>
    <row r="74" ht="15.75" customHeight="1">
      <c r="A74" s="131"/>
      <c r="H74" s="132"/>
    </row>
    <row r="75" ht="15.75" customHeight="1">
      <c r="A75" s="102"/>
      <c r="B75" s="103"/>
      <c r="C75" s="103"/>
      <c r="D75" s="103"/>
      <c r="E75" s="103"/>
      <c r="F75" s="103"/>
      <c r="G75" s="103"/>
      <c r="H75" s="104"/>
    </row>
    <row r="76" ht="15.75" customHeight="1"/>
    <row r="77" ht="15.75" customHeight="1">
      <c r="A77" s="112" t="s">
        <v>274</v>
      </c>
      <c r="G77" s="84" t="s">
        <v>36</v>
      </c>
      <c r="H77" s="125" t="str">
        <f>B79</f>
        <v/>
      </c>
    </row>
    <row r="78" ht="15.75" customHeight="1">
      <c r="G78" s="45" t="s">
        <v>275</v>
      </c>
    </row>
    <row r="79" ht="15.75" customHeight="1">
      <c r="A79" s="58" t="s">
        <v>36</v>
      </c>
      <c r="B79" s="128"/>
      <c r="C79" s="24"/>
      <c r="D79" s="24"/>
      <c r="E79" s="24"/>
      <c r="F79" s="24"/>
      <c r="G79" s="24"/>
      <c r="H79" s="29"/>
    </row>
    <row r="80" ht="15.75" customHeight="1">
      <c r="A80" s="126" t="s">
        <v>276</v>
      </c>
      <c r="B80" s="24"/>
      <c r="C80" s="24"/>
      <c r="D80" s="24"/>
      <c r="E80" s="24"/>
      <c r="F80" s="24"/>
      <c r="G80" s="24"/>
      <c r="H80" s="29"/>
    </row>
    <row r="81" ht="15.75" customHeight="1">
      <c r="A81" s="130"/>
      <c r="B81" s="100"/>
      <c r="C81" s="100"/>
      <c r="D81" s="100"/>
      <c r="E81" s="100"/>
      <c r="F81" s="100"/>
      <c r="G81" s="100"/>
      <c r="H81" s="101"/>
    </row>
    <row r="82" ht="15.75" customHeight="1">
      <c r="A82" s="102"/>
      <c r="B82" s="103"/>
      <c r="C82" s="103"/>
      <c r="D82" s="103"/>
      <c r="E82" s="103"/>
      <c r="F82" s="103"/>
      <c r="G82" s="103"/>
      <c r="H82" s="104"/>
    </row>
    <row r="83" ht="15.75" customHeight="1">
      <c r="A83" s="45" t="s">
        <v>277</v>
      </c>
    </row>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0">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F28:H28"/>
    <mergeCell ref="F29:H29"/>
    <mergeCell ref="B24:H24"/>
    <mergeCell ref="B27:C27"/>
    <mergeCell ref="D27:E27"/>
    <mergeCell ref="F27:H27"/>
    <mergeCell ref="B28:C28"/>
    <mergeCell ref="D28:E28"/>
    <mergeCell ref="B29:C29"/>
    <mergeCell ref="B30:C30"/>
    <mergeCell ref="F30:H30"/>
    <mergeCell ref="B31:C31"/>
    <mergeCell ref="F31:H31"/>
    <mergeCell ref="B32:C32"/>
    <mergeCell ref="F34:H34"/>
    <mergeCell ref="F35:H35"/>
    <mergeCell ref="F38:H38"/>
    <mergeCell ref="F40:H40"/>
    <mergeCell ref="D47:H47"/>
    <mergeCell ref="A53:F53"/>
    <mergeCell ref="B56:H56"/>
    <mergeCell ref="B57:H57"/>
    <mergeCell ref="B58:H58"/>
    <mergeCell ref="A72:H72"/>
    <mergeCell ref="A73:H75"/>
    <mergeCell ref="A77:F77"/>
    <mergeCell ref="B79:H79"/>
    <mergeCell ref="A80:H80"/>
    <mergeCell ref="A81:H82"/>
    <mergeCell ref="B59:H59"/>
    <mergeCell ref="A61:H61"/>
    <mergeCell ref="A62:H64"/>
    <mergeCell ref="B67:H67"/>
    <mergeCell ref="B68:H68"/>
    <mergeCell ref="B69:H69"/>
    <mergeCell ref="B70:H70"/>
  </mergeCells>
  <conditionalFormatting sqref="D48:H51">
    <cfRule type="cellIs" dxfId="0" priority="1" operator="between">
      <formula>0</formula>
      <formula>45</formula>
    </cfRule>
  </conditionalFormatting>
  <dataValidations>
    <dataValidation type="list" allowBlank="1" showErrorMessage="1" sqref="B57">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56 B67">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228</v>
      </c>
    </row>
    <row r="3" ht="15.75" customHeight="1"/>
    <row r="4" ht="15.75" customHeight="1">
      <c r="B4" s="18" t="s">
        <v>1</v>
      </c>
      <c r="C4" s="110" t="str">
        <f>'Diseño'!C4</f>
        <v>796 - Lenguajes Formales y de Programación</v>
      </c>
      <c r="D4" s="24"/>
      <c r="E4" s="24"/>
      <c r="F4" s="24"/>
      <c r="G4" s="29"/>
    </row>
    <row r="5" ht="15.75" customHeight="1">
      <c r="B5" s="30" t="s">
        <v>24</v>
      </c>
      <c r="C5" s="28">
        <v>8.0</v>
      </c>
      <c r="D5" s="24"/>
      <c r="E5" s="24"/>
      <c r="F5" s="24"/>
      <c r="G5" s="29"/>
    </row>
    <row r="6" ht="15.75" customHeight="1">
      <c r="B6" s="89" t="s">
        <v>27</v>
      </c>
      <c r="C6" s="28">
        <f>H10+H21+H43+H67</f>
        <v>105</v>
      </c>
      <c r="D6" s="24"/>
      <c r="E6" s="24"/>
      <c r="F6" s="24"/>
      <c r="G6" s="29"/>
      <c r="I6" s="6"/>
    </row>
    <row r="7" ht="15.75" customHeight="1">
      <c r="B7" s="89" t="s">
        <v>229</v>
      </c>
      <c r="C7" s="28">
        <f>B48+B59</f>
        <v>2</v>
      </c>
      <c r="D7" s="24"/>
      <c r="E7" s="24"/>
      <c r="F7" s="24"/>
      <c r="G7" s="29"/>
    </row>
    <row r="8" ht="15.75" customHeight="1">
      <c r="B8" s="89" t="s">
        <v>230</v>
      </c>
      <c r="C8" s="111" t="str">
        <f>IF(H43&lt;=0, "❌ ERROR: La Actividad 1 debe tener un tiempo mayor a 0.", IF(H21&gt;60, "❌ ERROR: El 'Área de Conocimiento' no puede exceder los 60 min.", IF((H10+H21+H43)&lt;100, "❌ ERROR: El tiempo total debe ser de al menos 100 min.", "✅ VALIDACIÓN CORRECTA")))</f>
        <v>✅ VALIDACIÓN CORRECTA</v>
      </c>
      <c r="D8" s="24"/>
      <c r="E8" s="24"/>
      <c r="F8" s="24"/>
      <c r="G8" s="29"/>
      <c r="I8" s="6"/>
      <c r="J8" s="6"/>
      <c r="K8" s="6"/>
    </row>
    <row r="9" ht="15.75" customHeight="1"/>
    <row r="10" ht="15.75" customHeight="1">
      <c r="A10" s="112" t="s">
        <v>231</v>
      </c>
      <c r="G10" s="84" t="s">
        <v>36</v>
      </c>
      <c r="H10" s="113">
        <v>5.0</v>
      </c>
    </row>
    <row r="11" ht="15.75" customHeight="1">
      <c r="G11" s="45" t="s">
        <v>232</v>
      </c>
    </row>
    <row r="12" ht="15.75" customHeight="1">
      <c r="A12" s="58" t="s">
        <v>233</v>
      </c>
      <c r="B12" s="72" t="s">
        <v>287</v>
      </c>
      <c r="C12" s="24"/>
      <c r="D12" s="24"/>
      <c r="E12" s="24"/>
      <c r="F12" s="24"/>
      <c r="G12" s="24"/>
      <c r="H12" s="29"/>
    </row>
    <row r="13" ht="15.75" customHeight="1">
      <c r="A13" s="68" t="s">
        <v>36</v>
      </c>
      <c r="B13" s="72" t="s">
        <v>288</v>
      </c>
      <c r="C13" s="24"/>
      <c r="D13" s="24"/>
      <c r="E13" s="24"/>
      <c r="F13" s="24"/>
      <c r="G13" s="24"/>
      <c r="H13" s="29"/>
    </row>
    <row r="14" ht="15.75" customHeight="1">
      <c r="A14" s="114" t="s">
        <v>235</v>
      </c>
      <c r="B14" s="24"/>
      <c r="C14" s="24"/>
      <c r="D14" s="24"/>
      <c r="E14" s="24"/>
      <c r="F14" s="24"/>
      <c r="G14" s="24"/>
      <c r="H14" s="29"/>
    </row>
    <row r="15" ht="15.75" customHeight="1">
      <c r="A15" s="116" t="s">
        <v>289</v>
      </c>
      <c r="B15" s="100"/>
      <c r="C15" s="100"/>
      <c r="D15" s="100"/>
      <c r="E15" s="100"/>
      <c r="F15" s="100"/>
      <c r="G15" s="100"/>
      <c r="H15" s="101"/>
    </row>
    <row r="16" ht="15.75" customHeight="1">
      <c r="A16" s="102"/>
      <c r="B16" s="103"/>
      <c r="C16" s="103"/>
      <c r="D16" s="103"/>
      <c r="E16" s="103"/>
      <c r="F16" s="103"/>
      <c r="G16" s="103"/>
      <c r="H16" s="104"/>
    </row>
    <row r="17" ht="15.75" customHeight="1">
      <c r="A17" s="114" t="s">
        <v>238</v>
      </c>
      <c r="B17" s="24"/>
      <c r="C17" s="24"/>
      <c r="D17" s="24"/>
      <c r="E17" s="24"/>
      <c r="F17" s="24"/>
      <c r="G17" s="24"/>
      <c r="H17" s="29"/>
    </row>
    <row r="18" ht="15.75" customHeight="1">
      <c r="A18" s="116" t="s">
        <v>290</v>
      </c>
      <c r="B18" s="100"/>
      <c r="C18" s="100"/>
      <c r="D18" s="100"/>
      <c r="E18" s="100"/>
      <c r="F18" s="100"/>
      <c r="G18" s="100"/>
      <c r="H18" s="101"/>
    </row>
    <row r="19" ht="15.75" customHeight="1">
      <c r="A19" s="102"/>
      <c r="B19" s="103"/>
      <c r="C19" s="103"/>
      <c r="D19" s="103"/>
      <c r="E19" s="103"/>
      <c r="F19" s="103"/>
      <c r="G19" s="103"/>
      <c r="H19" s="104"/>
    </row>
    <row r="20" ht="15.75" customHeight="1"/>
    <row r="21" ht="15.75" customHeight="1">
      <c r="A21" s="112" t="s">
        <v>241</v>
      </c>
      <c r="G21" s="84" t="s">
        <v>36</v>
      </c>
      <c r="H21" s="113">
        <v>60.0</v>
      </c>
      <c r="I21" s="6"/>
    </row>
    <row r="22" ht="15.75" customHeight="1">
      <c r="G22" s="45" t="s">
        <v>243</v>
      </c>
    </row>
    <row r="23" ht="15.75" customHeight="1">
      <c r="A23" s="58" t="s">
        <v>244</v>
      </c>
      <c r="B23" s="72" t="s">
        <v>118</v>
      </c>
      <c r="C23" s="24"/>
      <c r="D23" s="24"/>
      <c r="E23" s="24"/>
      <c r="F23" s="24"/>
      <c r="G23" s="24"/>
      <c r="H23" s="29"/>
    </row>
    <row r="24" ht="15.75" customHeight="1">
      <c r="A24" s="58" t="s">
        <v>244</v>
      </c>
      <c r="B24" s="72" t="s">
        <v>66</v>
      </c>
      <c r="C24" s="24"/>
      <c r="D24" s="24"/>
      <c r="E24" s="24"/>
      <c r="F24" s="24"/>
      <c r="G24" s="24"/>
      <c r="H24" s="29"/>
    </row>
    <row r="25" ht="15.75" customHeight="1"/>
    <row r="26" ht="15.75" customHeight="1">
      <c r="A26" s="118" t="s">
        <v>246</v>
      </c>
      <c r="B26" s="6"/>
      <c r="C26" s="6"/>
      <c r="D26" s="6"/>
    </row>
    <row r="27" ht="15.75" customHeight="1">
      <c r="A27" s="119" t="s">
        <v>17</v>
      </c>
      <c r="B27" s="120" t="s">
        <v>247</v>
      </c>
      <c r="C27" s="29"/>
      <c r="D27" s="120" t="s">
        <v>248</v>
      </c>
      <c r="E27" s="29"/>
      <c r="F27" s="120" t="s">
        <v>249</v>
      </c>
      <c r="G27" s="24"/>
      <c r="H27" s="29"/>
    </row>
    <row r="28" ht="15.75" customHeight="1">
      <c r="A28" s="39">
        <v>1.0</v>
      </c>
      <c r="B28" s="28" t="str">
        <f>IFERROR(__xludf.DUMMYFUNCTION("FILTER('Diseño'!D:D,'Diseño'!H:H=$C$5)"),"Analisis Lexico")</f>
        <v>Analisis Lexico</v>
      </c>
      <c r="C28" s="29"/>
      <c r="D28" s="28" t="str">
        <f>IFERROR(__xludf.DUMMYFUNCTION("FILTER('Diseño'!E:E,'Diseño'!H:H=$C$5)"),"Automata Finitos")</f>
        <v>Automata Finitos</v>
      </c>
      <c r="E28" s="29"/>
      <c r="F28" s="28" t="str">
        <f>IFERROR(__xludf.DUMMYFUNCTION("FILTER('Diseño'!F:F,'Diseño'!H:H=$C$5)"),"Definición de AFN")</f>
        <v>Definición de AFN</v>
      </c>
      <c r="G28" s="24"/>
      <c r="H28" s="29"/>
    </row>
    <row r="29" ht="15.75" customHeight="1">
      <c r="A29" s="39">
        <v>2.0</v>
      </c>
      <c r="B29" s="72" t="str">
        <f>IFERROR(__xludf.DUMMYFUNCTION("""COMPUTED_VALUE"""),"Analisis Lexico")</f>
        <v>Analisis Lexico</v>
      </c>
      <c r="C29" s="137"/>
      <c r="D29" s="72" t="str">
        <f>IFERROR(__xludf.DUMMYFUNCTION("""COMPUTED_VALUE"""),"Automata Finitos")</f>
        <v>Automata Finitos</v>
      </c>
      <c r="E29" s="137"/>
      <c r="F29" s="72" t="str">
        <f>IFERROR(__xludf.DUMMYFUNCTION("""COMPUTED_VALUE"""),"Estructura de un AFN")</f>
        <v>Estructura de un AFN</v>
      </c>
      <c r="G29" s="138"/>
      <c r="H29" s="137"/>
    </row>
    <row r="30" ht="15.75" customHeight="1">
      <c r="A30" s="39">
        <v>3.0</v>
      </c>
      <c r="B30" s="72" t="str">
        <f>IFERROR(__xludf.DUMMYFUNCTION("""COMPUTED_VALUE"""),"Analisis Lexico")</f>
        <v>Analisis Lexico</v>
      </c>
      <c r="C30" s="137"/>
      <c r="D30" s="72" t="str">
        <f>IFERROR(__xludf.DUMMYFUNCTION("""COMPUTED_VALUE"""),"Automata Finitos")</f>
        <v>Automata Finitos</v>
      </c>
      <c r="E30" s="137"/>
      <c r="F30" s="72" t="str">
        <f>IFERROR(__xludf.DUMMYFUNCTION("""COMPUTED_VALUE"""),"Ejemplo de AFN")</f>
        <v>Ejemplo de AFN</v>
      </c>
      <c r="G30" s="138"/>
      <c r="H30" s="137"/>
    </row>
    <row r="31" ht="15.75" customHeight="1">
      <c r="A31" s="39">
        <v>4.0</v>
      </c>
      <c r="B31" s="72" t="str">
        <f>IFERROR(__xludf.DUMMYFUNCTION("""COMPUTED_VALUE"""),"Analisis Lexico")</f>
        <v>Analisis Lexico</v>
      </c>
      <c r="C31" s="137"/>
      <c r="D31" s="72" t="str">
        <f>IFERROR(__xludf.DUMMYFUNCTION("""COMPUTED_VALUE"""),"Automata Finitos")</f>
        <v>Automata Finitos</v>
      </c>
      <c r="E31" s="137"/>
      <c r="F31" s="72" t="str">
        <f>IFERROR(__xludf.DUMMYFUNCTION("""COMPUTED_VALUE"""),"Definición de AFD")</f>
        <v>Definición de AFD</v>
      </c>
      <c r="G31" s="138"/>
      <c r="H31" s="137"/>
    </row>
    <row r="32" ht="15.75" customHeight="1">
      <c r="A32" s="39">
        <v>5.0</v>
      </c>
      <c r="B32" s="72" t="str">
        <f>IFERROR(__xludf.DUMMYFUNCTION("""COMPUTED_VALUE"""),"Analisis Lexico")</f>
        <v>Analisis Lexico</v>
      </c>
      <c r="C32" s="137"/>
      <c r="D32" s="72" t="str">
        <f>IFERROR(__xludf.DUMMYFUNCTION("""COMPUTED_VALUE"""),"Automata Finitos")</f>
        <v>Automata Finitos</v>
      </c>
      <c r="E32" s="137"/>
      <c r="F32" s="72" t="str">
        <f>IFERROR(__xludf.DUMMYFUNCTION("""COMPUTED_VALUE"""),"Estructura de un AFD")</f>
        <v>Estructura de un AFD</v>
      </c>
      <c r="G32" s="138"/>
      <c r="H32" s="137"/>
    </row>
    <row r="33" ht="15.75" customHeight="1">
      <c r="A33" s="39">
        <v>6.0</v>
      </c>
      <c r="B33" s="72" t="str">
        <f>IFERROR(__xludf.DUMMYFUNCTION("""COMPUTED_VALUE"""),"Analisis Lexico")</f>
        <v>Analisis Lexico</v>
      </c>
      <c r="C33" s="137"/>
      <c r="D33" s="72" t="str">
        <f>IFERROR(__xludf.DUMMYFUNCTION("""COMPUTED_VALUE"""),"Automata Finitos")</f>
        <v>Automata Finitos</v>
      </c>
      <c r="E33" s="137"/>
      <c r="F33" s="72" t="str">
        <f>IFERROR(__xludf.DUMMYFUNCTION("""COMPUTED_VALUE"""),"Ejemplo de AFD")</f>
        <v>Ejemplo de AFD</v>
      </c>
      <c r="G33" s="138"/>
      <c r="H33" s="137"/>
    </row>
    <row r="34" ht="15.75" customHeight="1"/>
    <row r="35" ht="15.75" customHeight="1">
      <c r="A35" s="118" t="s">
        <v>254</v>
      </c>
    </row>
    <row r="36" ht="15.75" customHeight="1">
      <c r="A36" s="6"/>
      <c r="B36" s="6"/>
      <c r="C36" s="6"/>
      <c r="D36" s="6"/>
      <c r="E36" s="6"/>
      <c r="F36" s="6"/>
      <c r="G36" s="6"/>
      <c r="H36" s="6"/>
    </row>
    <row r="37">
      <c r="A37" s="119" t="s">
        <v>255</v>
      </c>
      <c r="B37" s="119" t="s">
        <v>56</v>
      </c>
      <c r="C37" s="124" t="s">
        <v>256</v>
      </c>
      <c r="D37" s="126" t="s">
        <v>257</v>
      </c>
      <c r="E37" s="24"/>
      <c r="F37" s="24"/>
      <c r="G37" s="24"/>
      <c r="H37" s="29"/>
      <c r="I37" s="127" t="s">
        <v>103</v>
      </c>
    </row>
    <row r="38" ht="15.75" customHeight="1">
      <c r="A38" s="39" t="s">
        <v>258</v>
      </c>
      <c r="B38" s="39" t="s">
        <v>259</v>
      </c>
      <c r="C38" s="39" t="s">
        <v>294</v>
      </c>
      <c r="D38" s="72" t="s">
        <v>295</v>
      </c>
      <c r="E38" s="138"/>
      <c r="F38" s="138"/>
      <c r="G38" s="138"/>
      <c r="H38" s="137"/>
      <c r="I38" s="30" t="str">
        <f t="shared" ref="I38:I41" si="1">IF(D38&lt;=C38,"Correcto", "Corregir")</f>
        <v>Corregir</v>
      </c>
    </row>
    <row r="39" ht="15.75" customHeight="1">
      <c r="A39" s="39" t="s">
        <v>260</v>
      </c>
      <c r="B39" s="39" t="s">
        <v>259</v>
      </c>
      <c r="C39" s="39" t="s">
        <v>296</v>
      </c>
      <c r="D39" s="72" t="s">
        <v>297</v>
      </c>
      <c r="E39" s="138"/>
      <c r="F39" s="138"/>
      <c r="G39" s="138"/>
      <c r="H39" s="137"/>
      <c r="I39" s="30" t="str">
        <f t="shared" si="1"/>
        <v>Correcto</v>
      </c>
    </row>
    <row r="40" ht="15.75" customHeight="1">
      <c r="A40" s="39" t="s">
        <v>261</v>
      </c>
      <c r="B40" s="39" t="s">
        <v>262</v>
      </c>
      <c r="C40" s="39" t="s">
        <v>298</v>
      </c>
      <c r="D40" s="72" t="s">
        <v>299</v>
      </c>
      <c r="E40" s="138"/>
      <c r="F40" s="138"/>
      <c r="G40" s="138"/>
      <c r="H40" s="137"/>
      <c r="I40" s="30" t="str">
        <f t="shared" si="1"/>
        <v>Corregir</v>
      </c>
    </row>
    <row r="41" ht="15.75" customHeight="1">
      <c r="A41" s="39" t="s">
        <v>263</v>
      </c>
      <c r="B41" s="39" t="s">
        <v>259</v>
      </c>
      <c r="C41" s="39" t="s">
        <v>296</v>
      </c>
      <c r="D41" s="72" t="s">
        <v>297</v>
      </c>
      <c r="E41" s="138"/>
      <c r="F41" s="138"/>
      <c r="G41" s="138"/>
      <c r="H41" s="137"/>
      <c r="I41" s="30" t="str">
        <f t="shared" si="1"/>
        <v>Correcto</v>
      </c>
    </row>
    <row r="42" ht="15.75" customHeight="1"/>
    <row r="43" ht="15.75" customHeight="1">
      <c r="A43" s="112" t="s">
        <v>264</v>
      </c>
      <c r="G43" s="84" t="s">
        <v>36</v>
      </c>
      <c r="H43" s="113">
        <v>40.0</v>
      </c>
    </row>
    <row r="44" ht="15.75" customHeight="1">
      <c r="G44" s="45" t="s">
        <v>265</v>
      </c>
    </row>
    <row r="45" ht="15.75" customHeight="1">
      <c r="A45" s="45" t="s">
        <v>266</v>
      </c>
    </row>
    <row r="46">
      <c r="A46" s="58" t="s">
        <v>267</v>
      </c>
      <c r="B46" s="72" t="s">
        <v>118</v>
      </c>
      <c r="C46" s="24"/>
      <c r="D46" s="24"/>
      <c r="E46" s="24"/>
      <c r="F46" s="24"/>
      <c r="G46" s="24"/>
      <c r="H46" s="29"/>
    </row>
    <row r="47" ht="15.75" customHeight="1">
      <c r="A47" s="58" t="s">
        <v>8</v>
      </c>
      <c r="B47" s="72" t="s">
        <v>300</v>
      </c>
      <c r="C47" s="24"/>
      <c r="D47" s="24"/>
      <c r="E47" s="24"/>
      <c r="F47" s="24"/>
      <c r="G47" s="24"/>
      <c r="H47" s="29"/>
    </row>
    <row r="48" ht="15.75" customHeight="1">
      <c r="A48" s="58" t="s">
        <v>229</v>
      </c>
      <c r="B48" s="134">
        <v>2.0</v>
      </c>
      <c r="C48" s="24"/>
      <c r="D48" s="24"/>
      <c r="E48" s="24"/>
      <c r="F48" s="24"/>
      <c r="G48" s="24"/>
      <c r="H48" s="29"/>
    </row>
    <row r="49" ht="15.75" customHeight="1">
      <c r="A49" s="58" t="s">
        <v>36</v>
      </c>
      <c r="B49" s="72" t="s">
        <v>301</v>
      </c>
      <c r="C49" s="24"/>
      <c r="D49" s="24"/>
      <c r="E49" s="24"/>
      <c r="F49" s="24"/>
      <c r="G49" s="24"/>
      <c r="H49" s="29"/>
    </row>
    <row r="50" ht="15.75" customHeight="1">
      <c r="A50" s="129" t="s">
        <v>270</v>
      </c>
      <c r="B50" s="6"/>
      <c r="C50" s="6"/>
      <c r="D50" s="6"/>
      <c r="E50" s="6"/>
      <c r="F50" s="6"/>
      <c r="G50" s="6"/>
      <c r="H50" s="6"/>
    </row>
    <row r="51" ht="15.75" customHeight="1">
      <c r="A51" s="114" t="s">
        <v>271</v>
      </c>
      <c r="B51" s="24"/>
      <c r="C51" s="24"/>
      <c r="D51" s="24"/>
      <c r="E51" s="24"/>
      <c r="F51" s="24"/>
      <c r="G51" s="24"/>
      <c r="H51" s="29"/>
    </row>
    <row r="52" ht="15.75" customHeight="1">
      <c r="A52" s="116" t="s">
        <v>302</v>
      </c>
      <c r="B52" s="100"/>
      <c r="C52" s="100"/>
      <c r="D52" s="100"/>
      <c r="E52" s="100"/>
      <c r="F52" s="100"/>
      <c r="G52" s="100"/>
      <c r="H52" s="101"/>
    </row>
    <row r="53" ht="15.75" customHeight="1">
      <c r="A53" s="131"/>
      <c r="H53" s="132"/>
    </row>
    <row r="54" ht="15.75" customHeight="1">
      <c r="A54" s="102"/>
      <c r="B54" s="103"/>
      <c r="C54" s="103"/>
      <c r="D54" s="103"/>
      <c r="E54" s="103"/>
      <c r="F54" s="103"/>
      <c r="G54" s="103"/>
      <c r="H54" s="104"/>
    </row>
    <row r="55" ht="15.75" customHeight="1"/>
    <row r="56" ht="15.75" customHeight="1">
      <c r="A56" s="45" t="s">
        <v>272</v>
      </c>
    </row>
    <row r="57">
      <c r="A57" s="58" t="s">
        <v>267</v>
      </c>
      <c r="B57" s="28"/>
      <c r="C57" s="24"/>
      <c r="D57" s="24"/>
      <c r="E57" s="24"/>
      <c r="F57" s="24"/>
      <c r="G57" s="24"/>
      <c r="H57" s="29"/>
    </row>
    <row r="58" ht="15.75" customHeight="1">
      <c r="A58" s="58" t="s">
        <v>8</v>
      </c>
      <c r="B58" s="28"/>
      <c r="C58" s="24"/>
      <c r="D58" s="24"/>
      <c r="E58" s="24"/>
      <c r="F58" s="24"/>
      <c r="G58" s="24"/>
      <c r="H58" s="29"/>
    </row>
    <row r="59" ht="15.75" customHeight="1">
      <c r="A59" s="58" t="s">
        <v>229</v>
      </c>
      <c r="B59" s="128"/>
      <c r="C59" s="24"/>
      <c r="D59" s="24"/>
      <c r="E59" s="24"/>
      <c r="F59" s="24"/>
      <c r="G59" s="24"/>
      <c r="H59" s="29"/>
    </row>
    <row r="60" ht="15.75" customHeight="1">
      <c r="A60" s="58" t="s">
        <v>36</v>
      </c>
      <c r="B60" s="128"/>
      <c r="C60" s="24"/>
      <c r="D60" s="24"/>
      <c r="E60" s="24"/>
      <c r="F60" s="24"/>
      <c r="G60" s="24"/>
      <c r="H60" s="29"/>
    </row>
    <row r="61" ht="15.75" customHeight="1">
      <c r="A61" s="133" t="s">
        <v>273</v>
      </c>
      <c r="B61" s="6"/>
      <c r="C61" s="6"/>
      <c r="D61" s="6"/>
      <c r="E61" s="6"/>
      <c r="F61" s="6"/>
      <c r="G61" s="6"/>
      <c r="H61" s="6"/>
    </row>
    <row r="62" ht="15.75" customHeight="1">
      <c r="A62" s="114" t="s">
        <v>271</v>
      </c>
      <c r="B62" s="24"/>
      <c r="C62" s="24"/>
      <c r="D62" s="24"/>
      <c r="E62" s="24"/>
      <c r="F62" s="24"/>
      <c r="G62" s="24"/>
      <c r="H62" s="29"/>
    </row>
    <row r="63" ht="15.75" customHeight="1">
      <c r="A63" s="130"/>
      <c r="B63" s="100"/>
      <c r="C63" s="100"/>
      <c r="D63" s="100"/>
      <c r="E63" s="100"/>
      <c r="F63" s="100"/>
      <c r="G63" s="100"/>
      <c r="H63" s="101"/>
    </row>
    <row r="64" ht="15.75" customHeight="1">
      <c r="A64" s="131"/>
      <c r="H64" s="132"/>
    </row>
    <row r="65" ht="15.75" customHeight="1">
      <c r="A65" s="102"/>
      <c r="B65" s="103"/>
      <c r="C65" s="103"/>
      <c r="D65" s="103"/>
      <c r="E65" s="103"/>
      <c r="F65" s="103"/>
      <c r="G65" s="103"/>
      <c r="H65" s="104"/>
    </row>
    <row r="66" ht="15.75" customHeight="1"/>
    <row r="67" ht="15.75" customHeight="1">
      <c r="A67" s="112" t="s">
        <v>274</v>
      </c>
      <c r="G67" s="84" t="s">
        <v>36</v>
      </c>
      <c r="H67" s="125" t="str">
        <f>B69</f>
        <v/>
      </c>
    </row>
    <row r="68" ht="15.75" customHeight="1">
      <c r="G68" s="45" t="s">
        <v>275</v>
      </c>
    </row>
    <row r="69" ht="15.75" customHeight="1">
      <c r="A69" s="58" t="s">
        <v>36</v>
      </c>
      <c r="B69" s="128"/>
      <c r="C69" s="24"/>
      <c r="D69" s="24"/>
      <c r="E69" s="24"/>
      <c r="F69" s="24"/>
      <c r="G69" s="24"/>
      <c r="H69" s="29"/>
    </row>
    <row r="70" ht="15.75" customHeight="1">
      <c r="A70" s="126" t="s">
        <v>276</v>
      </c>
      <c r="B70" s="24"/>
      <c r="C70" s="24"/>
      <c r="D70" s="24"/>
      <c r="E70" s="24"/>
      <c r="F70" s="24"/>
      <c r="G70" s="24"/>
      <c r="H70" s="29"/>
    </row>
    <row r="71" ht="15.75" customHeight="1">
      <c r="A71" s="130"/>
      <c r="B71" s="100"/>
      <c r="C71" s="100"/>
      <c r="D71" s="100"/>
      <c r="E71" s="100"/>
      <c r="F71" s="100"/>
      <c r="G71" s="100"/>
      <c r="H71" s="101"/>
    </row>
    <row r="72" ht="15.75" customHeight="1">
      <c r="A72" s="102"/>
      <c r="B72" s="103"/>
      <c r="C72" s="103"/>
      <c r="D72" s="103"/>
      <c r="E72" s="103"/>
      <c r="F72" s="103"/>
      <c r="G72" s="103"/>
      <c r="H72" s="104"/>
    </row>
    <row r="73" ht="15.75" customHeight="1">
      <c r="A73" s="45" t="s">
        <v>277</v>
      </c>
    </row>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39">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7:H37"/>
    <mergeCell ref="A43:F43"/>
    <mergeCell ref="B46:H46"/>
    <mergeCell ref="B47:H47"/>
    <mergeCell ref="B48:H48"/>
    <mergeCell ref="B49:H49"/>
    <mergeCell ref="A51:H51"/>
    <mergeCell ref="A67:F67"/>
    <mergeCell ref="B69:H69"/>
    <mergeCell ref="A70:H70"/>
    <mergeCell ref="A71:H72"/>
    <mergeCell ref="A52:H54"/>
    <mergeCell ref="B57:H57"/>
    <mergeCell ref="B58:H58"/>
    <mergeCell ref="B59:H59"/>
    <mergeCell ref="B60:H60"/>
    <mergeCell ref="A62:H62"/>
    <mergeCell ref="A63:H65"/>
  </mergeCells>
  <conditionalFormatting sqref="D38:H41">
    <cfRule type="cellIs" dxfId="0" priority="1" operator="between">
      <formula>0</formula>
      <formula>45</formula>
    </cfRule>
  </conditionalFormatting>
  <dataValidations>
    <dataValidation type="list" allowBlank="1" showErrorMessage="1" sqref="B47">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6 B57">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228</v>
      </c>
    </row>
    <row r="3" ht="15.75" customHeight="1"/>
    <row r="4" ht="15.75" customHeight="1">
      <c r="B4" s="18" t="s">
        <v>1</v>
      </c>
      <c r="C4" s="110" t="str">
        <f>'Diseño'!C4</f>
        <v>796 - Lenguajes Formales y de Programación</v>
      </c>
      <c r="D4" s="24"/>
      <c r="E4" s="24"/>
      <c r="F4" s="24"/>
      <c r="G4" s="29"/>
    </row>
    <row r="5" ht="15.75" customHeight="1">
      <c r="B5" s="30" t="s">
        <v>24</v>
      </c>
      <c r="C5" s="28">
        <v>9.0</v>
      </c>
      <c r="D5" s="24"/>
      <c r="E5" s="24"/>
      <c r="F5" s="24"/>
      <c r="G5" s="29"/>
    </row>
    <row r="6" ht="15.75" customHeight="1">
      <c r="B6" s="89" t="s">
        <v>27</v>
      </c>
      <c r="C6" s="28">
        <f>H10+H21+H40+H64</f>
        <v>105</v>
      </c>
      <c r="D6" s="24"/>
      <c r="E6" s="24"/>
      <c r="F6" s="24"/>
      <c r="G6" s="29"/>
      <c r="I6" s="6"/>
    </row>
    <row r="7" ht="15.75" customHeight="1">
      <c r="B7" s="89" t="s">
        <v>229</v>
      </c>
      <c r="C7" s="28">
        <f>B45+B56</f>
        <v>2</v>
      </c>
      <c r="D7" s="24"/>
      <c r="E7" s="24"/>
      <c r="F7" s="24"/>
      <c r="G7" s="29"/>
    </row>
    <row r="8" ht="15.75" customHeight="1">
      <c r="B8" s="89" t="s">
        <v>230</v>
      </c>
      <c r="C8" s="111" t="str">
        <f>IF(H40&lt;=0, "❌ ERROR: La Actividad 1 debe tener un tiempo mayor a 0.", IF(H21&gt;60, "❌ ERROR: El 'Área de Conocimiento' no puede exceder los 60 min.", IF((H10+H21+H40)&lt;100, "❌ ERROR: El tiempo total debe ser de al menos 100 min.", "✅ VALIDACIÓN CORRECTA")))</f>
        <v>✅ VALIDACIÓN CORRECTA</v>
      </c>
      <c r="D8" s="24"/>
      <c r="E8" s="24"/>
      <c r="F8" s="24"/>
      <c r="G8" s="29"/>
      <c r="I8" s="6"/>
      <c r="J8" s="6"/>
      <c r="K8" s="6"/>
    </row>
    <row r="9" ht="15.75" customHeight="1"/>
    <row r="10" ht="15.75" customHeight="1">
      <c r="A10" s="112" t="s">
        <v>231</v>
      </c>
      <c r="G10" s="84" t="s">
        <v>36</v>
      </c>
      <c r="H10" s="113">
        <v>5.0</v>
      </c>
    </row>
    <row r="11" ht="15.75" customHeight="1">
      <c r="G11" s="45" t="s">
        <v>232</v>
      </c>
    </row>
    <row r="12" ht="15.75" customHeight="1">
      <c r="A12" s="58" t="s">
        <v>233</v>
      </c>
      <c r="B12" s="72" t="s">
        <v>305</v>
      </c>
      <c r="C12" s="24"/>
      <c r="D12" s="24"/>
      <c r="E12" s="24"/>
      <c r="F12" s="24"/>
      <c r="G12" s="24"/>
      <c r="H12" s="29"/>
    </row>
    <row r="13" ht="15.75" customHeight="1">
      <c r="A13" s="68" t="s">
        <v>36</v>
      </c>
      <c r="B13" s="72" t="s">
        <v>288</v>
      </c>
      <c r="C13" s="24"/>
      <c r="D13" s="24"/>
      <c r="E13" s="24"/>
      <c r="F13" s="24"/>
      <c r="G13" s="24"/>
      <c r="H13" s="29"/>
    </row>
    <row r="14" ht="15.75" customHeight="1">
      <c r="A14" s="114" t="s">
        <v>235</v>
      </c>
      <c r="B14" s="24"/>
      <c r="C14" s="24"/>
      <c r="D14" s="24"/>
      <c r="E14" s="24"/>
      <c r="F14" s="24"/>
      <c r="G14" s="24"/>
      <c r="H14" s="29"/>
    </row>
    <row r="15" ht="15.75" customHeight="1">
      <c r="A15" s="116" t="s">
        <v>306</v>
      </c>
      <c r="B15" s="100"/>
      <c r="C15" s="100"/>
      <c r="D15" s="100"/>
      <c r="E15" s="100"/>
      <c r="F15" s="100"/>
      <c r="G15" s="100"/>
      <c r="H15" s="101"/>
    </row>
    <row r="16" ht="15.75" customHeight="1">
      <c r="A16" s="102"/>
      <c r="B16" s="103"/>
      <c r="C16" s="103"/>
      <c r="D16" s="103"/>
      <c r="E16" s="103"/>
      <c r="F16" s="103"/>
      <c r="G16" s="103"/>
      <c r="H16" s="104"/>
    </row>
    <row r="17" ht="15.75" customHeight="1">
      <c r="A17" s="114" t="s">
        <v>238</v>
      </c>
      <c r="B17" s="24"/>
      <c r="C17" s="24"/>
      <c r="D17" s="24"/>
      <c r="E17" s="24"/>
      <c r="F17" s="24"/>
      <c r="G17" s="24"/>
      <c r="H17" s="29"/>
    </row>
    <row r="18" ht="15.75" customHeight="1">
      <c r="A18" s="116" t="s">
        <v>307</v>
      </c>
      <c r="B18" s="100"/>
      <c r="C18" s="100"/>
      <c r="D18" s="100"/>
      <c r="E18" s="100"/>
      <c r="F18" s="100"/>
      <c r="G18" s="100"/>
      <c r="H18" s="101"/>
    </row>
    <row r="19" ht="15.75" customHeight="1">
      <c r="A19" s="102"/>
      <c r="B19" s="103"/>
      <c r="C19" s="103"/>
      <c r="D19" s="103"/>
      <c r="E19" s="103"/>
      <c r="F19" s="103"/>
      <c r="G19" s="103"/>
      <c r="H19" s="104"/>
    </row>
    <row r="20" ht="15.75" customHeight="1"/>
    <row r="21" ht="15.75" customHeight="1">
      <c r="A21" s="112" t="s">
        <v>241</v>
      </c>
      <c r="G21" s="84" t="s">
        <v>36</v>
      </c>
      <c r="H21" s="113">
        <v>60.0</v>
      </c>
      <c r="I21" s="6"/>
    </row>
    <row r="22" ht="15.75" customHeight="1">
      <c r="G22" s="45" t="s">
        <v>243</v>
      </c>
    </row>
    <row r="23" ht="15.75" customHeight="1">
      <c r="A23" s="58" t="s">
        <v>244</v>
      </c>
      <c r="B23" s="72" t="s">
        <v>118</v>
      </c>
      <c r="C23" s="24"/>
      <c r="D23" s="24"/>
      <c r="E23" s="24"/>
      <c r="F23" s="24"/>
      <c r="G23" s="24"/>
      <c r="H23" s="29"/>
    </row>
    <row r="24" ht="15.75" customHeight="1">
      <c r="A24" s="58" t="s">
        <v>244</v>
      </c>
      <c r="B24" s="72" t="s">
        <v>308</v>
      </c>
      <c r="C24" s="24"/>
      <c r="D24" s="24"/>
      <c r="E24" s="24"/>
      <c r="F24" s="24"/>
      <c r="G24" s="24"/>
      <c r="H24" s="29"/>
    </row>
    <row r="25" ht="15.75" customHeight="1"/>
    <row r="26" ht="15.75" customHeight="1">
      <c r="A26" s="118" t="s">
        <v>246</v>
      </c>
      <c r="B26" s="6"/>
      <c r="C26" s="6"/>
      <c r="D26" s="6"/>
    </row>
    <row r="27" ht="15.75" customHeight="1">
      <c r="A27" s="119" t="s">
        <v>17</v>
      </c>
      <c r="B27" s="120" t="s">
        <v>247</v>
      </c>
      <c r="C27" s="29"/>
      <c r="D27" s="120" t="s">
        <v>248</v>
      </c>
      <c r="E27" s="29"/>
      <c r="F27" s="120" t="s">
        <v>249</v>
      </c>
      <c r="G27" s="24"/>
      <c r="H27" s="29"/>
    </row>
    <row r="28" ht="15.75" customHeight="1">
      <c r="A28" s="39">
        <v>1.0</v>
      </c>
      <c r="B28" s="28" t="str">
        <f>IFERROR(__xludf.DUMMYFUNCTION("FILTER('Diseño'!D:D,'Diseño'!H:H=$C$5)"),"Analisis Lexico")</f>
        <v>Analisis Lexico</v>
      </c>
      <c r="C28" s="29"/>
      <c r="D28" s="28" t="str">
        <f>IFERROR(__xludf.DUMMYFUNCTION("FILTER('Diseño'!E:E,'Diseño'!H:H=$C$5)"),"Conversion AFN a AFD")</f>
        <v>Conversion AFN a AFD</v>
      </c>
      <c r="E28" s="29"/>
      <c r="F28" s="28" t="str">
        <f>IFERROR(__xludf.DUMMYFUNCTION("FILTER('Diseño'!F:F,'Diseño'!H:H=$C$5)"),"Método del Árbol")</f>
        <v>Método del Árbol</v>
      </c>
      <c r="G28" s="24"/>
      <c r="H28" s="29"/>
    </row>
    <row r="29" ht="15.75" customHeight="1">
      <c r="A29" s="39">
        <v>2.0</v>
      </c>
      <c r="B29" s="72" t="str">
        <f>IFERROR(__xludf.DUMMYFUNCTION("""COMPUTED_VALUE"""),"Analisis Lexico")</f>
        <v>Analisis Lexico</v>
      </c>
      <c r="C29" s="137"/>
      <c r="D29" s="72" t="str">
        <f>IFERROR(__xludf.DUMMYFUNCTION("""COMPUTED_VALUE"""),"Conversion AFN a AFD")</f>
        <v>Conversion AFN a AFD</v>
      </c>
      <c r="E29" s="137"/>
      <c r="F29" s="72" t="str">
        <f>IFERROR(__xludf.DUMMYFUNCTION("""COMPUTED_VALUE"""),"Anulables")</f>
        <v>Anulables</v>
      </c>
      <c r="G29" s="138"/>
      <c r="H29" s="137"/>
    </row>
    <row r="30" ht="15.75" customHeight="1">
      <c r="A30" s="39">
        <v>3.0</v>
      </c>
      <c r="B30" s="72" t="str">
        <f>IFERROR(__xludf.DUMMYFUNCTION("""COMPUTED_VALUE"""),"Analisis Lexico")</f>
        <v>Analisis Lexico</v>
      </c>
      <c r="C30" s="137"/>
      <c r="D30" s="72" t="str">
        <f>IFERROR(__xludf.DUMMYFUNCTION("""COMPUTED_VALUE"""),"Conversion AFN a AFD")</f>
        <v>Conversion AFN a AFD</v>
      </c>
      <c r="E30" s="137"/>
      <c r="F30" s="72" t="str">
        <f>IFERROR(__xludf.DUMMYFUNCTION("""COMPUTED_VALUE"""),"Cálculo de First, Last y Next")</f>
        <v>Cálculo de First, Last y Next</v>
      </c>
      <c r="G30" s="138"/>
      <c r="H30" s="137"/>
    </row>
    <row r="31" ht="15.75" customHeight="1"/>
    <row r="32" ht="15.75" customHeight="1">
      <c r="A32" s="118" t="s">
        <v>254</v>
      </c>
    </row>
    <row r="33" ht="15.75" customHeight="1">
      <c r="A33" s="6"/>
      <c r="B33" s="6"/>
      <c r="C33" s="6"/>
      <c r="D33" s="6"/>
      <c r="E33" s="6"/>
      <c r="F33" s="6"/>
      <c r="G33" s="6"/>
      <c r="H33" s="6"/>
    </row>
    <row r="34">
      <c r="A34" s="119" t="s">
        <v>255</v>
      </c>
      <c r="B34" s="119" t="s">
        <v>56</v>
      </c>
      <c r="C34" s="124" t="s">
        <v>256</v>
      </c>
      <c r="D34" s="126" t="s">
        <v>257</v>
      </c>
      <c r="E34" s="24"/>
      <c r="F34" s="24"/>
      <c r="G34" s="24"/>
      <c r="H34" s="29"/>
      <c r="I34" s="127" t="s">
        <v>103</v>
      </c>
    </row>
    <row r="35" ht="15.75" customHeight="1">
      <c r="A35" s="39" t="s">
        <v>258</v>
      </c>
      <c r="B35" s="39" t="s">
        <v>259</v>
      </c>
      <c r="C35" s="39" t="s">
        <v>294</v>
      </c>
      <c r="D35" s="72" t="s">
        <v>295</v>
      </c>
      <c r="E35" s="138"/>
      <c r="F35" s="138"/>
      <c r="G35" s="138"/>
      <c r="H35" s="137"/>
      <c r="I35" s="30" t="str">
        <f t="shared" ref="I35:I38" si="1">IF(D35&lt;=C35,"Correcto", "Corregir")</f>
        <v>Corregir</v>
      </c>
    </row>
    <row r="36" ht="15.75" customHeight="1">
      <c r="A36" s="39" t="s">
        <v>260</v>
      </c>
      <c r="B36" s="39" t="s">
        <v>259</v>
      </c>
      <c r="C36" s="39" t="s">
        <v>296</v>
      </c>
      <c r="D36" s="72" t="s">
        <v>297</v>
      </c>
      <c r="E36" s="138"/>
      <c r="F36" s="138"/>
      <c r="G36" s="138"/>
      <c r="H36" s="137"/>
      <c r="I36" s="30" t="str">
        <f t="shared" si="1"/>
        <v>Correcto</v>
      </c>
    </row>
    <row r="37" ht="15.75" customHeight="1">
      <c r="A37" s="39" t="s">
        <v>261</v>
      </c>
      <c r="B37" s="39" t="s">
        <v>262</v>
      </c>
      <c r="C37" s="39" t="s">
        <v>298</v>
      </c>
      <c r="D37" s="72" t="s">
        <v>299</v>
      </c>
      <c r="E37" s="138"/>
      <c r="F37" s="138"/>
      <c r="G37" s="138"/>
      <c r="H37" s="137"/>
      <c r="I37" s="30" t="str">
        <f t="shared" si="1"/>
        <v>Corregir</v>
      </c>
    </row>
    <row r="38" ht="15.75" customHeight="1">
      <c r="A38" s="39" t="s">
        <v>263</v>
      </c>
      <c r="B38" s="39" t="s">
        <v>259</v>
      </c>
      <c r="C38" s="39" t="s">
        <v>296</v>
      </c>
      <c r="D38" s="72" t="s">
        <v>297</v>
      </c>
      <c r="E38" s="138"/>
      <c r="F38" s="138"/>
      <c r="G38" s="138"/>
      <c r="H38" s="137"/>
      <c r="I38" s="30" t="str">
        <f t="shared" si="1"/>
        <v>Correcto</v>
      </c>
    </row>
    <row r="39" ht="15.75" customHeight="1"/>
    <row r="40" ht="15.75" customHeight="1">
      <c r="A40" s="112" t="s">
        <v>264</v>
      </c>
      <c r="G40" s="84" t="s">
        <v>36</v>
      </c>
      <c r="H40" s="113">
        <v>40.0</v>
      </c>
    </row>
    <row r="41" ht="15.75" customHeight="1">
      <c r="G41" s="45" t="s">
        <v>265</v>
      </c>
    </row>
    <row r="42" ht="15.75" customHeight="1">
      <c r="A42" s="45" t="s">
        <v>266</v>
      </c>
    </row>
    <row r="43">
      <c r="A43" s="58" t="s">
        <v>267</v>
      </c>
      <c r="B43" s="72" t="s">
        <v>118</v>
      </c>
      <c r="C43" s="24"/>
      <c r="D43" s="24"/>
      <c r="E43" s="24"/>
      <c r="F43" s="24"/>
      <c r="G43" s="24"/>
      <c r="H43" s="29"/>
    </row>
    <row r="44" ht="15.75" customHeight="1">
      <c r="A44" s="58" t="s">
        <v>8</v>
      </c>
      <c r="B44" s="72" t="s">
        <v>300</v>
      </c>
      <c r="C44" s="24"/>
      <c r="D44" s="24"/>
      <c r="E44" s="24"/>
      <c r="F44" s="24"/>
      <c r="G44" s="24"/>
      <c r="H44" s="29"/>
    </row>
    <row r="45" ht="15.75" customHeight="1">
      <c r="A45" s="58" t="s">
        <v>229</v>
      </c>
      <c r="B45" s="134">
        <v>2.0</v>
      </c>
      <c r="C45" s="24"/>
      <c r="D45" s="24"/>
      <c r="E45" s="24"/>
      <c r="F45" s="24"/>
      <c r="G45" s="24"/>
      <c r="H45" s="29"/>
    </row>
    <row r="46" ht="15.75" customHeight="1">
      <c r="A46" s="58" t="s">
        <v>36</v>
      </c>
      <c r="B46" s="72" t="s">
        <v>301</v>
      </c>
      <c r="C46" s="24"/>
      <c r="D46" s="24"/>
      <c r="E46" s="24"/>
      <c r="F46" s="24"/>
      <c r="G46" s="24"/>
      <c r="H46" s="29"/>
    </row>
    <row r="47" ht="15.75" customHeight="1">
      <c r="A47" s="129" t="s">
        <v>270</v>
      </c>
      <c r="B47" s="6"/>
      <c r="C47" s="6"/>
      <c r="D47" s="6"/>
      <c r="E47" s="6"/>
      <c r="F47" s="6"/>
      <c r="G47" s="6"/>
      <c r="H47" s="6"/>
    </row>
    <row r="48" ht="15.75" customHeight="1">
      <c r="A48" s="114" t="s">
        <v>271</v>
      </c>
      <c r="B48" s="24"/>
      <c r="C48" s="24"/>
      <c r="D48" s="24"/>
      <c r="E48" s="24"/>
      <c r="F48" s="24"/>
      <c r="G48" s="24"/>
      <c r="H48" s="29"/>
    </row>
    <row r="49" ht="15.75" customHeight="1">
      <c r="A49" s="116" t="s">
        <v>310</v>
      </c>
      <c r="B49" s="100"/>
      <c r="C49" s="100"/>
      <c r="D49" s="100"/>
      <c r="E49" s="100"/>
      <c r="F49" s="100"/>
      <c r="G49" s="100"/>
      <c r="H49" s="101"/>
    </row>
    <row r="50" ht="15.75" customHeight="1">
      <c r="A50" s="131"/>
      <c r="H50" s="132"/>
    </row>
    <row r="51" ht="15.75" customHeight="1">
      <c r="A51" s="102"/>
      <c r="B51" s="103"/>
      <c r="C51" s="103"/>
      <c r="D51" s="103"/>
      <c r="E51" s="103"/>
      <c r="F51" s="103"/>
      <c r="G51" s="103"/>
      <c r="H51" s="104"/>
    </row>
    <row r="52" ht="15.75" customHeight="1"/>
    <row r="53" ht="15.75" customHeight="1">
      <c r="A53" s="45" t="s">
        <v>272</v>
      </c>
    </row>
    <row r="54">
      <c r="A54" s="58" t="s">
        <v>267</v>
      </c>
      <c r="B54" s="28"/>
      <c r="C54" s="24"/>
      <c r="D54" s="24"/>
      <c r="E54" s="24"/>
      <c r="F54" s="24"/>
      <c r="G54" s="24"/>
      <c r="H54" s="29"/>
    </row>
    <row r="55" ht="15.75" customHeight="1">
      <c r="A55" s="58" t="s">
        <v>8</v>
      </c>
      <c r="B55" s="28"/>
      <c r="C55" s="24"/>
      <c r="D55" s="24"/>
      <c r="E55" s="24"/>
      <c r="F55" s="24"/>
      <c r="G55" s="24"/>
      <c r="H55" s="29"/>
    </row>
    <row r="56" ht="15.75" customHeight="1">
      <c r="A56" s="58" t="s">
        <v>229</v>
      </c>
      <c r="B56" s="128"/>
      <c r="C56" s="24"/>
      <c r="D56" s="24"/>
      <c r="E56" s="24"/>
      <c r="F56" s="24"/>
      <c r="G56" s="24"/>
      <c r="H56" s="29"/>
    </row>
    <row r="57" ht="15.75" customHeight="1">
      <c r="A57" s="58" t="s">
        <v>36</v>
      </c>
      <c r="B57" s="128"/>
      <c r="C57" s="24"/>
      <c r="D57" s="24"/>
      <c r="E57" s="24"/>
      <c r="F57" s="24"/>
      <c r="G57" s="24"/>
      <c r="H57" s="29"/>
    </row>
    <row r="58" ht="15.75" customHeight="1">
      <c r="A58" s="133" t="s">
        <v>273</v>
      </c>
      <c r="B58" s="6"/>
      <c r="C58" s="6"/>
      <c r="D58" s="6"/>
      <c r="E58" s="6"/>
      <c r="F58" s="6"/>
      <c r="G58" s="6"/>
      <c r="H58" s="6"/>
    </row>
    <row r="59" ht="15.75" customHeight="1">
      <c r="A59" s="114" t="s">
        <v>271</v>
      </c>
      <c r="B59" s="24"/>
      <c r="C59" s="24"/>
      <c r="D59" s="24"/>
      <c r="E59" s="24"/>
      <c r="F59" s="24"/>
      <c r="G59" s="24"/>
      <c r="H59" s="29"/>
    </row>
    <row r="60" ht="15.75" customHeight="1">
      <c r="A60" s="130"/>
      <c r="B60" s="100"/>
      <c r="C60" s="100"/>
      <c r="D60" s="100"/>
      <c r="E60" s="100"/>
      <c r="F60" s="100"/>
      <c r="G60" s="100"/>
      <c r="H60" s="101"/>
    </row>
    <row r="61" ht="15.75" customHeight="1">
      <c r="A61" s="131"/>
      <c r="H61" s="132"/>
    </row>
    <row r="62" ht="15.75" customHeight="1">
      <c r="A62" s="102"/>
      <c r="B62" s="103"/>
      <c r="C62" s="103"/>
      <c r="D62" s="103"/>
      <c r="E62" s="103"/>
      <c r="F62" s="103"/>
      <c r="G62" s="103"/>
      <c r="H62" s="104"/>
    </row>
    <row r="63" ht="15.75" customHeight="1"/>
    <row r="64" ht="15.75" customHeight="1">
      <c r="A64" s="112" t="s">
        <v>274</v>
      </c>
      <c r="G64" s="84" t="s">
        <v>36</v>
      </c>
      <c r="H64" s="125" t="str">
        <f>B66</f>
        <v/>
      </c>
    </row>
    <row r="65" ht="15.75" customHeight="1">
      <c r="G65" s="45" t="s">
        <v>275</v>
      </c>
    </row>
    <row r="66" ht="15.75" customHeight="1">
      <c r="A66" s="58" t="s">
        <v>36</v>
      </c>
      <c r="B66" s="128"/>
      <c r="C66" s="24"/>
      <c r="D66" s="24"/>
      <c r="E66" s="24"/>
      <c r="F66" s="24"/>
      <c r="G66" s="24"/>
      <c r="H66" s="29"/>
    </row>
    <row r="67" ht="15.75" customHeight="1">
      <c r="A67" s="126" t="s">
        <v>276</v>
      </c>
      <c r="B67" s="24"/>
      <c r="C67" s="24"/>
      <c r="D67" s="24"/>
      <c r="E67" s="24"/>
      <c r="F67" s="24"/>
      <c r="G67" s="24"/>
      <c r="H67" s="29"/>
    </row>
    <row r="68" ht="15.75" customHeight="1">
      <c r="A68" s="130"/>
      <c r="B68" s="100"/>
      <c r="C68" s="100"/>
      <c r="D68" s="100"/>
      <c r="E68" s="100"/>
      <c r="F68" s="100"/>
      <c r="G68" s="100"/>
      <c r="H68" s="101"/>
    </row>
    <row r="69" ht="15.75" customHeight="1">
      <c r="A69" s="102"/>
      <c r="B69" s="103"/>
      <c r="C69" s="103"/>
      <c r="D69" s="103"/>
      <c r="E69" s="103"/>
      <c r="F69" s="103"/>
      <c r="G69" s="103"/>
      <c r="H69" s="104"/>
    </row>
    <row r="70" ht="15.75" customHeight="1">
      <c r="A70" s="45" t="s">
        <v>277</v>
      </c>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39">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4:H34"/>
    <mergeCell ref="A40:F40"/>
    <mergeCell ref="B43:H43"/>
    <mergeCell ref="B44:H44"/>
    <mergeCell ref="B45:H45"/>
    <mergeCell ref="B46:H46"/>
    <mergeCell ref="A48:H48"/>
    <mergeCell ref="A64:F64"/>
    <mergeCell ref="B66:H66"/>
    <mergeCell ref="A67:H67"/>
    <mergeCell ref="A68:H69"/>
    <mergeCell ref="A49:H51"/>
    <mergeCell ref="B54:H54"/>
    <mergeCell ref="B55:H55"/>
    <mergeCell ref="B56:H56"/>
    <mergeCell ref="B57:H57"/>
    <mergeCell ref="A59:H59"/>
    <mergeCell ref="A60:H62"/>
  </mergeCells>
  <conditionalFormatting sqref="D35:H38">
    <cfRule type="cellIs" dxfId="0" priority="1" operator="between">
      <formula>0</formula>
      <formula>45</formula>
    </cfRule>
  </conditionalFormatting>
  <dataValidations>
    <dataValidation type="list" allowBlank="1" showErrorMessage="1" sqref="B44">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3 B54">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 customWidth="1" min="8" max="8" width="39.88"/>
  </cols>
  <sheetData>
    <row r="1" ht="15.75" customHeight="1"/>
    <row r="2" ht="15.75" customHeight="1">
      <c r="B2" s="2" t="s">
        <v>228</v>
      </c>
    </row>
    <row r="3" ht="15.75" customHeight="1"/>
    <row r="4" ht="15.75" customHeight="1">
      <c r="B4" s="18" t="s">
        <v>1</v>
      </c>
      <c r="C4" s="110" t="str">
        <f>'Diseño'!C4</f>
        <v>796 - Lenguajes Formales y de Programación</v>
      </c>
      <c r="D4" s="24"/>
      <c r="E4" s="24"/>
      <c r="F4" s="24"/>
      <c r="G4" s="29"/>
    </row>
    <row r="5" ht="15.75" customHeight="1">
      <c r="B5" s="30" t="s">
        <v>24</v>
      </c>
      <c r="C5" s="28">
        <v>10.0</v>
      </c>
      <c r="D5" s="24"/>
      <c r="E5" s="24"/>
      <c r="F5" s="24"/>
      <c r="G5" s="29"/>
    </row>
    <row r="6" ht="15.75" customHeight="1">
      <c r="B6" s="89" t="s">
        <v>27</v>
      </c>
      <c r="C6" s="28">
        <f>H10+H21+H52+H76</f>
        <v>115</v>
      </c>
      <c r="D6" s="24"/>
      <c r="E6" s="24"/>
      <c r="F6" s="24"/>
      <c r="G6" s="29"/>
      <c r="I6" s="6"/>
    </row>
    <row r="7" ht="15.75" customHeight="1">
      <c r="B7" s="89" t="s">
        <v>229</v>
      </c>
      <c r="C7" s="28">
        <f>B57+B68</f>
        <v>2</v>
      </c>
      <c r="D7" s="24"/>
      <c r="E7" s="24"/>
      <c r="F7" s="24"/>
      <c r="G7" s="29"/>
    </row>
    <row r="8" ht="15.75" customHeight="1">
      <c r="B8" s="89" t="s">
        <v>230</v>
      </c>
      <c r="C8" s="111" t="str">
        <f>IF(H52&lt;=0, "❌ ERROR: La Actividad 1 debe tener un tiempo mayor a 0.", IF(H21&gt;60, "❌ ERROR: El 'Área de Conocimiento' no puede exceder los 60 min.", IF((H10+H21+H52)&lt;100, "❌ ERROR: El tiempo total debe ser de al menos 100 min.", "✅ VALIDACIÓN CORRECTA")))</f>
        <v>✅ VALIDACIÓN CORRECTA</v>
      </c>
      <c r="D8" s="24"/>
      <c r="E8" s="24"/>
      <c r="F8" s="24"/>
      <c r="G8" s="29"/>
      <c r="I8" s="6"/>
      <c r="J8" s="6"/>
      <c r="K8" s="6"/>
    </row>
    <row r="9" ht="15.75" customHeight="1"/>
    <row r="10" ht="15.75" customHeight="1">
      <c r="A10" s="112" t="s">
        <v>231</v>
      </c>
      <c r="G10" s="84" t="s">
        <v>36</v>
      </c>
      <c r="H10" s="113">
        <v>5.0</v>
      </c>
    </row>
    <row r="11" ht="15.75" customHeight="1">
      <c r="G11" s="45" t="s">
        <v>232</v>
      </c>
    </row>
    <row r="12" ht="15.75" customHeight="1">
      <c r="A12" s="58" t="s">
        <v>233</v>
      </c>
      <c r="B12" s="72" t="s">
        <v>250</v>
      </c>
      <c r="C12" s="24"/>
      <c r="D12" s="24"/>
      <c r="E12" s="24"/>
      <c r="F12" s="24"/>
      <c r="G12" s="24"/>
      <c r="H12" s="29"/>
    </row>
    <row r="13" ht="15.75" customHeight="1">
      <c r="A13" s="68" t="s">
        <v>36</v>
      </c>
      <c r="B13" s="72">
        <v>5.0</v>
      </c>
      <c r="C13" s="24"/>
      <c r="D13" s="24"/>
      <c r="E13" s="24"/>
      <c r="F13" s="24"/>
      <c r="G13" s="24"/>
      <c r="H13" s="29"/>
    </row>
    <row r="14" ht="15.75" customHeight="1">
      <c r="A14" s="114" t="s">
        <v>235</v>
      </c>
      <c r="B14" s="24"/>
      <c r="C14" s="24"/>
      <c r="D14" s="24"/>
      <c r="E14" s="24"/>
      <c r="F14" s="24"/>
      <c r="G14" s="24"/>
      <c r="H14" s="29"/>
    </row>
    <row r="15" ht="15.75" customHeight="1">
      <c r="A15" s="116" t="s">
        <v>309</v>
      </c>
      <c r="B15" s="100"/>
      <c r="C15" s="100"/>
      <c r="D15" s="100"/>
      <c r="E15" s="100"/>
      <c r="F15" s="100"/>
      <c r="G15" s="100"/>
      <c r="H15" s="101"/>
    </row>
    <row r="16" ht="15.75" customHeight="1">
      <c r="A16" s="102"/>
      <c r="B16" s="103"/>
      <c r="C16" s="103"/>
      <c r="D16" s="103"/>
      <c r="E16" s="103"/>
      <c r="F16" s="103"/>
      <c r="G16" s="103"/>
      <c r="H16" s="104"/>
    </row>
    <row r="17" ht="15.75" customHeight="1">
      <c r="A17" s="114" t="s">
        <v>238</v>
      </c>
      <c r="B17" s="24"/>
      <c r="C17" s="24"/>
      <c r="D17" s="24"/>
      <c r="E17" s="24"/>
      <c r="F17" s="24"/>
      <c r="G17" s="24"/>
      <c r="H17" s="29"/>
    </row>
    <row r="18" ht="15.75" customHeight="1">
      <c r="A18" s="130"/>
      <c r="B18" s="100"/>
      <c r="C18" s="100"/>
      <c r="D18" s="100"/>
      <c r="E18" s="100"/>
      <c r="F18" s="100"/>
      <c r="G18" s="100"/>
      <c r="H18" s="101"/>
    </row>
    <row r="19" ht="15.75" customHeight="1">
      <c r="A19" s="102"/>
      <c r="B19" s="103"/>
      <c r="C19" s="103"/>
      <c r="D19" s="103"/>
      <c r="E19" s="103"/>
      <c r="F19" s="103"/>
      <c r="G19" s="103"/>
      <c r="H19" s="104"/>
    </row>
    <row r="20" ht="15.75" customHeight="1"/>
    <row r="21" ht="15.75" customHeight="1">
      <c r="A21" s="112" t="s">
        <v>241</v>
      </c>
      <c r="G21" s="84" t="s">
        <v>36</v>
      </c>
      <c r="H21" s="113">
        <v>60.0</v>
      </c>
      <c r="I21" s="6"/>
    </row>
    <row r="22" ht="15.75" customHeight="1">
      <c r="G22" s="45" t="s">
        <v>243</v>
      </c>
    </row>
    <row r="23" ht="39.0" customHeight="1">
      <c r="A23" s="58" t="s">
        <v>244</v>
      </c>
      <c r="B23" s="139" t="s">
        <v>96</v>
      </c>
      <c r="C23" s="24"/>
      <c r="D23" s="24"/>
      <c r="E23" s="24"/>
      <c r="F23" s="24"/>
      <c r="G23" s="24"/>
      <c r="H23" s="29"/>
    </row>
    <row r="24" ht="15.75" customHeight="1">
      <c r="A24" s="58" t="s">
        <v>244</v>
      </c>
      <c r="B24" s="28"/>
      <c r="C24" s="24"/>
      <c r="D24" s="24"/>
      <c r="E24" s="24"/>
      <c r="F24" s="24"/>
      <c r="G24" s="24"/>
      <c r="H24" s="29"/>
    </row>
    <row r="25" ht="15.75" customHeight="1"/>
    <row r="26" ht="15.75" customHeight="1">
      <c r="A26" s="118" t="s">
        <v>246</v>
      </c>
      <c r="B26" s="6"/>
      <c r="C26" s="6"/>
      <c r="D26" s="6"/>
    </row>
    <row r="27" ht="15.75" customHeight="1">
      <c r="A27" s="119" t="s">
        <v>17</v>
      </c>
      <c r="B27" s="120" t="s">
        <v>247</v>
      </c>
      <c r="C27" s="29"/>
      <c r="D27" s="120" t="s">
        <v>248</v>
      </c>
      <c r="E27" s="29"/>
      <c r="F27" s="120" t="s">
        <v>249</v>
      </c>
      <c r="G27" s="24"/>
      <c r="H27" s="29"/>
    </row>
    <row r="28" ht="15.75" customHeight="1">
      <c r="A28" s="30">
        <v>1.0</v>
      </c>
      <c r="B28" s="28" t="str">
        <f>IFERROR(__xludf.DUMMYFUNCTION("FILTER('Diseño'!D:D,'Diseño'!H:H=$C$5)"),"Analisis Lexico")</f>
        <v>Analisis Lexico</v>
      </c>
      <c r="C28" s="29"/>
      <c r="D28" s="28" t="str">
        <f>IFERROR(__xludf.DUMMYFUNCTION("FILTER('Diseño'!E:E,'Diseño'!H:H=$C$5)"),"Optimizacion de Estados")</f>
        <v>Optimizacion de Estados</v>
      </c>
      <c r="E28" s="29"/>
      <c r="F28" s="28" t="str">
        <f>IFERROR(__xludf.DUMMYFUNCTION("FILTER('Diseño'!F:F,'Diseño'!H:H=$C$5)"),"Minimización de un AFD")</f>
        <v>Minimización de un AFD</v>
      </c>
      <c r="G28" s="24"/>
      <c r="H28" s="29"/>
    </row>
    <row r="29" ht="15.75" customHeight="1">
      <c r="A29" s="30">
        <v>2.0</v>
      </c>
      <c r="B29" s="36" t="str">
        <f>IFERROR(__xludf.DUMMYFUNCTION("""COMPUTED_VALUE"""),"Analisis Lexico")</f>
        <v>Analisis Lexico</v>
      </c>
      <c r="C29" s="29"/>
      <c r="D29" s="72" t="str">
        <f>IFERROR(__xludf.DUMMYFUNCTION("""COMPUTED_VALUE"""),"Optimizacion de Estados")</f>
        <v>Optimizacion de Estados</v>
      </c>
      <c r="E29" s="29"/>
      <c r="F29" s="52" t="str">
        <f>IFERROR(__xludf.DUMMYFUNCTION("""COMPUTED_VALUE"""),"Identificación de Estados Equivalentes")</f>
        <v>Identificación de Estados Equivalentes</v>
      </c>
      <c r="G29" s="24"/>
      <c r="H29" s="29"/>
    </row>
    <row r="30" ht="15.75" customHeight="1">
      <c r="A30" s="30">
        <v>3.0</v>
      </c>
      <c r="B30" s="36" t="str">
        <f>IFERROR(__xludf.DUMMYFUNCTION("""COMPUTED_VALUE"""),"Analisis Lexico")</f>
        <v>Analisis Lexico</v>
      </c>
      <c r="C30" s="29"/>
      <c r="D30" s="72" t="str">
        <f>IFERROR(__xludf.DUMMYFUNCTION("""COMPUTED_VALUE"""),"Optimizacion de Estados")</f>
        <v>Optimizacion de Estados</v>
      </c>
      <c r="E30" s="29"/>
      <c r="F30" s="52" t="str">
        <f>IFERROR(__xludf.DUMMYFUNCTION("""COMPUTED_VALUE"""),"Representación Compacta de AFD")</f>
        <v>Representación Compacta de AFD</v>
      </c>
      <c r="G30" s="24"/>
      <c r="H30" s="29"/>
    </row>
    <row r="31" ht="15.75" customHeight="1">
      <c r="A31" s="30">
        <v>4.0</v>
      </c>
      <c r="B31" s="36" t="str">
        <f>IFERROR(__xludf.DUMMYFUNCTION("""COMPUTED_VALUE"""),"Analisis Lexico")</f>
        <v>Analisis Lexico</v>
      </c>
      <c r="C31" s="29"/>
      <c r="D31" s="36" t="str">
        <f>IFERROR(__xludf.DUMMYFUNCTION("""COMPUTED_VALUE"""),"Optimizacion de Estados")</f>
        <v>Optimizacion de Estados</v>
      </c>
      <c r="E31" s="29"/>
      <c r="F31" s="52" t="str">
        <f>IFERROR(__xludf.DUMMYFUNCTION("""COMPUTED_VALUE"""),"Ventajas de una representación optimizada")</f>
        <v>Ventajas de una representación optimizada</v>
      </c>
      <c r="G31" s="24"/>
      <c r="H31" s="29"/>
    </row>
    <row r="32" ht="15.75" customHeight="1">
      <c r="A32" s="30">
        <v>5.0</v>
      </c>
      <c r="B32" s="36" t="str">
        <f>IFERROR(__xludf.DUMMYFUNCTION("""COMPUTED_VALUE"""),"Analisis Sintactico")</f>
        <v>Analisis Sintactico</v>
      </c>
      <c r="C32" s="29"/>
      <c r="D32" s="52" t="str">
        <f>IFERROR(__xludf.DUMMYFUNCTION("""COMPUTED_VALUE"""),"Funcion del Analizador Sintactico")</f>
        <v>Funcion del Analizador Sintactico</v>
      </c>
      <c r="E32" s="29"/>
      <c r="F32" s="52" t="str">
        <f>IFERROR(__xludf.DUMMYFUNCTION("""COMPUTED_VALUE"""),"Definición de análisis sintáctico")</f>
        <v>Definición de análisis sintáctico</v>
      </c>
      <c r="G32" s="24"/>
      <c r="H32" s="29"/>
    </row>
    <row r="33" ht="15.75" customHeight="1">
      <c r="A33" s="39">
        <v>6.0</v>
      </c>
      <c r="B33" s="36" t="str">
        <f>IFERROR(__xludf.DUMMYFUNCTION("""COMPUTED_VALUE"""),"Analisis Sintactico")</f>
        <v>Analisis Sintactico</v>
      </c>
      <c r="C33" s="29"/>
      <c r="D33" s="52" t="str">
        <f>IFERROR(__xludf.DUMMYFUNCTION("""COMPUTED_VALUE"""),"Funcion del Analizador Sintactico")</f>
        <v>Funcion del Analizador Sintactico</v>
      </c>
      <c r="E33" s="29"/>
      <c r="F33" s="52" t="str">
        <f>IFERROR(__xludf.DUMMYFUNCTION("""COMPUTED_VALUE"""),"Propósito del analizador sintáctico en un compilador")</f>
        <v>Propósito del analizador sintáctico en un compilador</v>
      </c>
      <c r="G33" s="24"/>
      <c r="H33" s="29"/>
    </row>
    <row r="34" ht="15.75" customHeight="1">
      <c r="A34" s="39">
        <v>7.0</v>
      </c>
      <c r="B34" s="36" t="str">
        <f>IFERROR(__xludf.DUMMYFUNCTION("""COMPUTED_VALUE"""),"Analisis Sintactico")</f>
        <v>Analisis Sintactico</v>
      </c>
      <c r="C34" s="29"/>
      <c r="D34" s="52" t="str">
        <f>IFERROR(__xludf.DUMMYFUNCTION("""COMPUTED_VALUE"""),"Funcion del Analizador Sintactico")</f>
        <v>Funcion del Analizador Sintactico</v>
      </c>
      <c r="E34" s="29"/>
      <c r="F34" s="52" t="str">
        <f>IFERROR(__xludf.DUMMYFUNCTION("""COMPUTED_VALUE"""),"Diferencias entre análisis léxico y sintáctico")</f>
        <v>Diferencias entre análisis léxico y sintáctico</v>
      </c>
      <c r="G34" s="24"/>
      <c r="H34" s="29"/>
    </row>
    <row r="35" ht="15.75" customHeight="1">
      <c r="A35" s="39">
        <v>8.0</v>
      </c>
      <c r="B35" s="36" t="str">
        <f>IFERROR(__xludf.DUMMYFUNCTION("""COMPUTED_VALUE"""),"Analisis Sintactico")</f>
        <v>Analisis Sintactico</v>
      </c>
      <c r="C35" s="29"/>
      <c r="D35" s="52" t="str">
        <f>IFERROR(__xludf.DUMMYFUNCTION("""COMPUTED_VALUE"""),"Funcion del Analizador Sintactico")</f>
        <v>Funcion del Analizador Sintactico</v>
      </c>
      <c r="E35" s="29"/>
      <c r="F35" s="52" t="str">
        <f>IFERROR(__xludf.DUMMYFUNCTION("""COMPUTED_VALUE"""),"Analizadores sintácticos ascendentes")</f>
        <v>Analizadores sintácticos ascendentes</v>
      </c>
      <c r="G35" s="24"/>
      <c r="H35" s="29"/>
    </row>
    <row r="36" ht="15.75" customHeight="1">
      <c r="A36" s="39">
        <v>9.0</v>
      </c>
      <c r="B36" s="36" t="str">
        <f>IFERROR(__xludf.DUMMYFUNCTION("""COMPUTED_VALUE"""),"Analisis Sintactico")</f>
        <v>Analisis Sintactico</v>
      </c>
      <c r="C36" s="29"/>
      <c r="D36" s="52" t="str">
        <f>IFERROR(__xludf.DUMMYFUNCTION("""COMPUTED_VALUE"""),"Funcion del Analizador Sintactico")</f>
        <v>Funcion del Analizador Sintactico</v>
      </c>
      <c r="E36" s="29"/>
      <c r="F36" s="52" t="str">
        <f>IFERROR(__xludf.DUMMYFUNCTION("""COMPUTED_VALUE"""),"Analizadores sintácticos descendentes")</f>
        <v>Analizadores sintácticos descendentes</v>
      </c>
      <c r="G36" s="24"/>
      <c r="H36" s="29"/>
    </row>
    <row r="37" ht="15.75" customHeight="1">
      <c r="A37" s="39">
        <v>10.0</v>
      </c>
      <c r="B37" s="36" t="str">
        <f>IFERROR(__xludf.DUMMYFUNCTION("""COMPUTED_VALUE"""),"Analisis Sintactico")</f>
        <v>Analisis Sintactico</v>
      </c>
      <c r="C37" s="29"/>
      <c r="D37" s="52" t="str">
        <f>IFERROR(__xludf.DUMMYFUNCTION("""COMPUTED_VALUE"""),"Funcion del Analizador Sintactico")</f>
        <v>Funcion del Analizador Sintactico</v>
      </c>
      <c r="E37" s="29"/>
      <c r="F37" s="52" t="str">
        <f>IFERROR(__xludf.DUMMYFUNCTION("""COMPUTED_VALUE"""),"Comparación de técnicas de análisis sintáctico")</f>
        <v>Comparación de técnicas de análisis sintáctico</v>
      </c>
      <c r="G37" s="24"/>
      <c r="H37" s="29"/>
    </row>
    <row r="38" ht="15.75" customHeight="1">
      <c r="A38" s="39">
        <v>11.0</v>
      </c>
      <c r="B38" s="36" t="str">
        <f>IFERROR(__xludf.DUMMYFUNCTION("""COMPUTED_VALUE"""),"Analisis Sintactico")</f>
        <v>Analisis Sintactico</v>
      </c>
      <c r="C38" s="29"/>
      <c r="D38" s="52" t="str">
        <f>IFERROR(__xludf.DUMMYFUNCTION("""COMPUTED_VALUE"""),"Lenguajes Libres de Contexto")</f>
        <v>Lenguajes Libres de Contexto</v>
      </c>
      <c r="E38" s="29"/>
      <c r="F38" s="52" t="str">
        <f>IFERROR(__xludf.DUMMYFUNCTION("""COMPUTED_VALUE"""),"Definición de lenguajes libres de contexto (LFC)")</f>
        <v>Definición de lenguajes libres de contexto (LFC)</v>
      </c>
      <c r="G38" s="24"/>
      <c r="H38" s="29"/>
    </row>
    <row r="39" ht="15.75" customHeight="1">
      <c r="A39" s="39">
        <v>12.0</v>
      </c>
      <c r="B39" s="36" t="str">
        <f>IFERROR(__xludf.DUMMYFUNCTION("""COMPUTED_VALUE"""),"Analisis Sintactico")</f>
        <v>Analisis Sintactico</v>
      </c>
      <c r="C39" s="29"/>
      <c r="D39" s="52" t="str">
        <f>IFERROR(__xludf.DUMMYFUNCTION("""COMPUTED_VALUE"""),"Lenguajes Libres de Contexto")</f>
        <v>Lenguajes Libres de Contexto</v>
      </c>
      <c r="E39" s="29"/>
      <c r="F39" s="52" t="str">
        <f>IFERROR(__xludf.DUMMYFUNCTION("""COMPUTED_VALUE"""),"Características de LFC")</f>
        <v>Características de LFC</v>
      </c>
      <c r="G39" s="24"/>
      <c r="H39" s="29"/>
    </row>
    <row r="40" ht="15.75" customHeight="1">
      <c r="A40" s="39">
        <v>13.0</v>
      </c>
      <c r="B40" s="36" t="str">
        <f>IFERROR(__xludf.DUMMYFUNCTION("""COMPUTED_VALUE"""),"Analisis Sintactico")</f>
        <v>Analisis Sintactico</v>
      </c>
      <c r="C40" s="29"/>
      <c r="D40" s="52" t="str">
        <f>IFERROR(__xludf.DUMMYFUNCTION("""COMPUTED_VALUE"""),"Lenguajes Libres de Contexto")</f>
        <v>Lenguajes Libres de Contexto</v>
      </c>
      <c r="E40" s="29"/>
      <c r="F40" s="52" t="str">
        <f>IFERROR(__xludf.DUMMYFUNCTION("""COMPUTED_VALUE"""),"Importancia de los LFC en la teoría de lenguajes de programación")</f>
        <v>Importancia de los LFC en la teoría de lenguajes de programación</v>
      </c>
      <c r="G40" s="24"/>
      <c r="H40" s="29"/>
    </row>
    <row r="41" ht="15.75" customHeight="1">
      <c r="A41" s="39">
        <v>14.0</v>
      </c>
      <c r="B41" s="36" t="str">
        <f>IFERROR(__xludf.DUMMYFUNCTION("""COMPUTED_VALUE"""),"Analisis Sintactico")</f>
        <v>Analisis Sintactico</v>
      </c>
      <c r="C41" s="29"/>
      <c r="D41" s="52" t="str">
        <f>IFERROR(__xludf.DUMMYFUNCTION("""COMPUTED_VALUE"""),"Lenguajes Libres de Contexto")</f>
        <v>Lenguajes Libres de Contexto</v>
      </c>
      <c r="E41" s="29"/>
      <c r="F41" s="52" t="str">
        <f>IFERROR(__xludf.DUMMYFUNCTION("""COMPUTED_VALUE"""),"Gramáticas Tipo 2")</f>
        <v>Gramáticas Tipo 2</v>
      </c>
      <c r="G41" s="24"/>
      <c r="H41" s="29"/>
    </row>
    <row r="42" ht="15.75" customHeight="1">
      <c r="A42" s="39">
        <v>15.0</v>
      </c>
      <c r="B42" s="36" t="str">
        <f>IFERROR(__xludf.DUMMYFUNCTION("""COMPUTED_VALUE"""),"Analisis Sintactico")</f>
        <v>Analisis Sintactico</v>
      </c>
      <c r="C42" s="29"/>
      <c r="D42" s="52" t="str">
        <f>IFERROR(__xludf.DUMMYFUNCTION("""COMPUTED_VALUE"""),"Lenguajes Libres de Contexto")</f>
        <v>Lenguajes Libres de Contexto</v>
      </c>
      <c r="E42" s="29"/>
      <c r="F42" s="52" t="str">
        <f>IFERROR(__xludf.DUMMYFUNCTION("""COMPUTED_VALUE"""),"Ejemplos de generación de cadenas usando gramáticas Tipo 2")</f>
        <v>Ejemplos de generación de cadenas usando gramáticas Tipo 2</v>
      </c>
      <c r="G42" s="24"/>
      <c r="H42" s="29"/>
    </row>
    <row r="43" ht="15.75" customHeight="1">
      <c r="A43" s="39">
        <v>16.0</v>
      </c>
      <c r="B43" s="36" t="str">
        <f>IFERROR(__xludf.DUMMYFUNCTION("""COMPUTED_VALUE"""),"Analisis Sintactico")</f>
        <v>Analisis Sintactico</v>
      </c>
      <c r="C43" s="29"/>
      <c r="D43" s="52" t="str">
        <f>IFERROR(__xludf.DUMMYFUNCTION("""COMPUTED_VALUE"""),"Lenguajes Libres de Contexto")</f>
        <v>Lenguajes Libres de Contexto</v>
      </c>
      <c r="E43" s="29"/>
      <c r="F43" s="140" t="str">
        <f>IFERROR(__xludf.DUMMYFUNCTION("""COMPUTED_VALUE"""),"Aplicaciones prácticas de gramáticas Tipo 2 en lenguajes de programación")</f>
        <v>Aplicaciones prácticas de gramáticas Tipo 2 en lenguajes de programación</v>
      </c>
      <c r="G43" s="24"/>
      <c r="H43" s="29"/>
    </row>
    <row r="44" ht="15.75" customHeight="1">
      <c r="A44" s="118" t="s">
        <v>254</v>
      </c>
    </row>
    <row r="45" ht="15.75" customHeight="1">
      <c r="A45" s="6"/>
      <c r="B45" s="6"/>
      <c r="C45" s="6"/>
      <c r="D45" s="6"/>
      <c r="E45" s="6"/>
      <c r="F45" s="6"/>
      <c r="G45" s="6"/>
      <c r="H45" s="6"/>
    </row>
    <row r="46">
      <c r="A46" s="119" t="s">
        <v>255</v>
      </c>
      <c r="B46" s="119" t="s">
        <v>56</v>
      </c>
      <c r="C46" s="124" t="s">
        <v>256</v>
      </c>
      <c r="D46" s="126" t="s">
        <v>257</v>
      </c>
      <c r="E46" s="24"/>
      <c r="F46" s="24"/>
      <c r="G46" s="24"/>
      <c r="H46" s="29"/>
      <c r="I46" s="127" t="s">
        <v>103</v>
      </c>
    </row>
    <row r="47" ht="15.75" customHeight="1">
      <c r="A47" s="30" t="s">
        <v>258</v>
      </c>
      <c r="B47" s="30" t="s">
        <v>259</v>
      </c>
      <c r="C47" s="34" t="s">
        <v>294</v>
      </c>
      <c r="D47" s="36">
        <v>25.0</v>
      </c>
      <c r="E47" s="24"/>
      <c r="F47" s="24"/>
      <c r="G47" s="24"/>
      <c r="H47" s="29"/>
      <c r="I47" s="30" t="str">
        <f t="shared" ref="I47:I50" si="1">IF(D47&lt;=C47,"Correcto", "Corregir")</f>
        <v>Correcto</v>
      </c>
    </row>
    <row r="48" ht="15.75" customHeight="1">
      <c r="A48" s="30" t="s">
        <v>260</v>
      </c>
      <c r="B48" s="30" t="s">
        <v>259</v>
      </c>
      <c r="C48" s="34" t="s">
        <v>296</v>
      </c>
      <c r="D48" s="36">
        <v>10.0</v>
      </c>
      <c r="E48" s="24"/>
      <c r="F48" s="24"/>
      <c r="G48" s="24"/>
      <c r="H48" s="29"/>
      <c r="I48" s="30" t="str">
        <f t="shared" si="1"/>
        <v>Correcto</v>
      </c>
    </row>
    <row r="49" ht="15.75" customHeight="1">
      <c r="A49" s="30" t="s">
        <v>261</v>
      </c>
      <c r="B49" s="30" t="s">
        <v>262</v>
      </c>
      <c r="C49" s="34" t="s">
        <v>298</v>
      </c>
      <c r="D49" s="36">
        <v>15.0</v>
      </c>
      <c r="E49" s="24"/>
      <c r="F49" s="24"/>
      <c r="G49" s="24"/>
      <c r="H49" s="29"/>
      <c r="I49" s="30" t="str">
        <f t="shared" si="1"/>
        <v>Correcto</v>
      </c>
    </row>
    <row r="50" ht="15.75" customHeight="1">
      <c r="A50" s="30" t="s">
        <v>263</v>
      </c>
      <c r="B50" s="30" t="s">
        <v>259</v>
      </c>
      <c r="C50" s="34" t="s">
        <v>296</v>
      </c>
      <c r="D50" s="36">
        <v>10.0</v>
      </c>
      <c r="E50" s="24"/>
      <c r="F50" s="24"/>
      <c r="G50" s="24"/>
      <c r="H50" s="29"/>
      <c r="I50" s="30" t="str">
        <f t="shared" si="1"/>
        <v>Correcto</v>
      </c>
    </row>
    <row r="51" ht="15.75" customHeight="1"/>
    <row r="52" ht="15.75" customHeight="1">
      <c r="A52" s="112" t="s">
        <v>264</v>
      </c>
      <c r="G52" s="84" t="s">
        <v>36</v>
      </c>
      <c r="H52" s="113">
        <v>40.0</v>
      </c>
    </row>
    <row r="53" ht="15.75" customHeight="1">
      <c r="G53" s="45" t="s">
        <v>265</v>
      </c>
    </row>
    <row r="54" ht="15.75" customHeight="1">
      <c r="A54" s="45" t="s">
        <v>266</v>
      </c>
    </row>
    <row r="55">
      <c r="A55" s="58" t="s">
        <v>267</v>
      </c>
      <c r="B55" s="72" t="s">
        <v>150</v>
      </c>
      <c r="C55" s="24"/>
      <c r="D55" s="24"/>
      <c r="E55" s="24"/>
      <c r="F55" s="24"/>
      <c r="G55" s="24"/>
      <c r="H55" s="29"/>
    </row>
    <row r="56" ht="15.75" customHeight="1">
      <c r="A56" s="58" t="s">
        <v>8</v>
      </c>
      <c r="B56" s="72" t="s">
        <v>269</v>
      </c>
      <c r="C56" s="24"/>
      <c r="D56" s="24"/>
      <c r="E56" s="24"/>
      <c r="F56" s="24"/>
      <c r="G56" s="24"/>
      <c r="H56" s="29"/>
    </row>
    <row r="57" ht="15.75" customHeight="1">
      <c r="A57" s="58" t="s">
        <v>229</v>
      </c>
      <c r="B57" s="134">
        <v>2.0</v>
      </c>
      <c r="C57" s="24"/>
      <c r="D57" s="24"/>
      <c r="E57" s="24"/>
      <c r="F57" s="24"/>
      <c r="G57" s="24"/>
      <c r="H57" s="29"/>
    </row>
    <row r="58" ht="15.75" customHeight="1">
      <c r="A58" s="58" t="s">
        <v>36</v>
      </c>
      <c r="B58" s="72">
        <v>40.0</v>
      </c>
      <c r="C58" s="24"/>
      <c r="D58" s="24"/>
      <c r="E58" s="24"/>
      <c r="F58" s="24"/>
      <c r="G58" s="24"/>
      <c r="H58" s="29"/>
    </row>
    <row r="59" ht="15.75" customHeight="1">
      <c r="A59" s="129" t="s">
        <v>270</v>
      </c>
      <c r="B59" s="6"/>
      <c r="C59" s="6"/>
      <c r="D59" s="6"/>
      <c r="E59" s="6"/>
      <c r="F59" s="6"/>
      <c r="G59" s="6"/>
      <c r="H59" s="6"/>
    </row>
    <row r="60" ht="15.75" customHeight="1">
      <c r="A60" s="114" t="s">
        <v>271</v>
      </c>
      <c r="B60" s="24"/>
      <c r="C60" s="24"/>
      <c r="D60" s="24"/>
      <c r="E60" s="24"/>
      <c r="F60" s="24"/>
      <c r="G60" s="24"/>
      <c r="H60" s="29"/>
    </row>
    <row r="61" ht="15.75" customHeight="1">
      <c r="A61" s="130"/>
      <c r="B61" s="100"/>
      <c r="C61" s="100"/>
      <c r="D61" s="100"/>
      <c r="E61" s="100"/>
      <c r="F61" s="100"/>
      <c r="G61" s="100"/>
      <c r="H61" s="101"/>
    </row>
    <row r="62" ht="15.75" customHeight="1">
      <c r="A62" s="131"/>
      <c r="H62" s="132"/>
    </row>
    <row r="63" ht="15.75" customHeight="1">
      <c r="A63" s="102"/>
      <c r="B63" s="103"/>
      <c r="C63" s="103"/>
      <c r="D63" s="103"/>
      <c r="E63" s="103"/>
      <c r="F63" s="103"/>
      <c r="G63" s="103"/>
      <c r="H63" s="104"/>
    </row>
    <row r="64" ht="15.75" customHeight="1"/>
    <row r="65" ht="15.75" customHeight="1">
      <c r="A65" s="45" t="s">
        <v>272</v>
      </c>
    </row>
    <row r="66">
      <c r="A66" s="58" t="s">
        <v>267</v>
      </c>
      <c r="B66" s="28"/>
      <c r="C66" s="24"/>
      <c r="D66" s="24"/>
      <c r="E66" s="24"/>
      <c r="F66" s="24"/>
      <c r="G66" s="24"/>
      <c r="H66" s="29"/>
    </row>
    <row r="67" ht="15.75" customHeight="1">
      <c r="A67" s="58" t="s">
        <v>8</v>
      </c>
      <c r="B67" s="28"/>
      <c r="C67" s="24"/>
      <c r="D67" s="24"/>
      <c r="E67" s="24"/>
      <c r="F67" s="24"/>
      <c r="G67" s="24"/>
      <c r="H67" s="29"/>
    </row>
    <row r="68" ht="15.75" customHeight="1">
      <c r="A68" s="58" t="s">
        <v>229</v>
      </c>
      <c r="B68" s="128"/>
      <c r="C68" s="24"/>
      <c r="D68" s="24"/>
      <c r="E68" s="24"/>
      <c r="F68" s="24"/>
      <c r="G68" s="24"/>
      <c r="H68" s="29"/>
    </row>
    <row r="69" ht="15.75" customHeight="1">
      <c r="A69" s="58" t="s">
        <v>36</v>
      </c>
      <c r="B69" s="128"/>
      <c r="C69" s="24"/>
      <c r="D69" s="24"/>
      <c r="E69" s="24"/>
      <c r="F69" s="24"/>
      <c r="G69" s="24"/>
      <c r="H69" s="29"/>
    </row>
    <row r="70" ht="15.75" customHeight="1">
      <c r="A70" s="133" t="s">
        <v>273</v>
      </c>
      <c r="B70" s="6"/>
      <c r="C70" s="6"/>
      <c r="D70" s="6"/>
      <c r="E70" s="6"/>
      <c r="F70" s="6"/>
      <c r="G70" s="6"/>
      <c r="H70" s="6"/>
    </row>
    <row r="71" ht="15.75" customHeight="1">
      <c r="A71" s="114" t="s">
        <v>271</v>
      </c>
      <c r="B71" s="24"/>
      <c r="C71" s="24"/>
      <c r="D71" s="24"/>
      <c r="E71" s="24"/>
      <c r="F71" s="24"/>
      <c r="G71" s="24"/>
      <c r="H71" s="29"/>
    </row>
    <row r="72" ht="15.75" customHeight="1">
      <c r="A72" s="130"/>
      <c r="B72" s="100"/>
      <c r="C72" s="100"/>
      <c r="D72" s="100"/>
      <c r="E72" s="100"/>
      <c r="F72" s="100"/>
      <c r="G72" s="100"/>
      <c r="H72" s="101"/>
    </row>
    <row r="73" ht="15.75" customHeight="1">
      <c r="A73" s="131"/>
      <c r="H73" s="132"/>
    </row>
    <row r="74" ht="15.75" customHeight="1">
      <c r="A74" s="102"/>
      <c r="B74" s="103"/>
      <c r="C74" s="103"/>
      <c r="D74" s="103"/>
      <c r="E74" s="103"/>
      <c r="F74" s="103"/>
      <c r="G74" s="103"/>
      <c r="H74" s="104"/>
    </row>
    <row r="75" ht="15.75" customHeight="1"/>
    <row r="76" ht="15.75" customHeight="1">
      <c r="A76" s="112" t="s">
        <v>274</v>
      </c>
      <c r="G76" s="84" t="s">
        <v>36</v>
      </c>
      <c r="H76" s="113">
        <v>10.0</v>
      </c>
    </row>
    <row r="77" ht="15.75" customHeight="1">
      <c r="G77" s="45" t="s">
        <v>275</v>
      </c>
    </row>
    <row r="78" ht="15.75" customHeight="1">
      <c r="A78" s="58" t="s">
        <v>36</v>
      </c>
      <c r="B78" s="128"/>
      <c r="C78" s="24"/>
      <c r="D78" s="24"/>
      <c r="E78" s="24"/>
      <c r="F78" s="24"/>
      <c r="G78" s="24"/>
      <c r="H78" s="29"/>
    </row>
    <row r="79" ht="15.75" customHeight="1">
      <c r="A79" s="126" t="s">
        <v>276</v>
      </c>
      <c r="B79" s="24"/>
      <c r="C79" s="24"/>
      <c r="D79" s="24"/>
      <c r="E79" s="24"/>
      <c r="F79" s="24"/>
      <c r="G79" s="24"/>
      <c r="H79" s="29"/>
    </row>
    <row r="80" ht="15.75" customHeight="1">
      <c r="A80" s="130"/>
      <c r="B80" s="100"/>
      <c r="C80" s="100"/>
      <c r="D80" s="100"/>
      <c r="E80" s="100"/>
      <c r="F80" s="100"/>
      <c r="G80" s="100"/>
      <c r="H80" s="101"/>
    </row>
    <row r="81" ht="15.75" customHeight="1">
      <c r="A81" s="102"/>
      <c r="B81" s="103"/>
      <c r="C81" s="103"/>
      <c r="D81" s="103"/>
      <c r="E81" s="103"/>
      <c r="F81" s="103"/>
      <c r="G81" s="103"/>
      <c r="H81" s="104"/>
    </row>
    <row r="82" ht="15.75" customHeight="1">
      <c r="A82" s="45" t="s">
        <v>277</v>
      </c>
    </row>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sheetData>
  <mergeCells count="8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D34:E34"/>
    <mergeCell ref="F34:H34"/>
    <mergeCell ref="B32:C32"/>
    <mergeCell ref="D32:E32"/>
    <mergeCell ref="F32:H32"/>
    <mergeCell ref="B33:C33"/>
    <mergeCell ref="D33:E33"/>
    <mergeCell ref="F33:H33"/>
    <mergeCell ref="B34:C34"/>
    <mergeCell ref="B78:H78"/>
    <mergeCell ref="A79:H79"/>
    <mergeCell ref="A80:H81"/>
    <mergeCell ref="B66:H66"/>
    <mergeCell ref="B67:H67"/>
    <mergeCell ref="B68:H68"/>
    <mergeCell ref="B69:H69"/>
    <mergeCell ref="A71:H71"/>
    <mergeCell ref="A72:H74"/>
    <mergeCell ref="A76:F76"/>
    <mergeCell ref="D37:E37"/>
    <mergeCell ref="F37:H37"/>
    <mergeCell ref="B35:C35"/>
    <mergeCell ref="D35:E35"/>
    <mergeCell ref="F35:H35"/>
    <mergeCell ref="B36:C36"/>
    <mergeCell ref="D36:E36"/>
    <mergeCell ref="F36:H36"/>
    <mergeCell ref="B37:C37"/>
    <mergeCell ref="D40:E40"/>
    <mergeCell ref="F40:H40"/>
    <mergeCell ref="B38:C38"/>
    <mergeCell ref="D38:E38"/>
    <mergeCell ref="F38:H38"/>
    <mergeCell ref="B39:C39"/>
    <mergeCell ref="D39:E39"/>
    <mergeCell ref="F39:H39"/>
    <mergeCell ref="B40:C40"/>
    <mergeCell ref="B41:C41"/>
    <mergeCell ref="D41:E41"/>
    <mergeCell ref="F41:H41"/>
    <mergeCell ref="B42:C42"/>
    <mergeCell ref="D42:E42"/>
    <mergeCell ref="F42:H42"/>
    <mergeCell ref="B43:C43"/>
    <mergeCell ref="D43:E43"/>
    <mergeCell ref="F43:H43"/>
    <mergeCell ref="D46:H46"/>
    <mergeCell ref="D47:H47"/>
    <mergeCell ref="D48:H48"/>
    <mergeCell ref="D49:H49"/>
    <mergeCell ref="D50:H50"/>
    <mergeCell ref="A52:F52"/>
    <mergeCell ref="B55:H55"/>
    <mergeCell ref="B56:H56"/>
    <mergeCell ref="B57:H57"/>
    <mergeCell ref="B58:H58"/>
    <mergeCell ref="A60:H60"/>
    <mergeCell ref="A61:H63"/>
  </mergeCells>
  <conditionalFormatting sqref="D47:H50">
    <cfRule type="cellIs" dxfId="0" priority="1" operator="between">
      <formula>0</formula>
      <formula>45</formula>
    </cfRule>
  </conditionalFormatting>
  <dataValidations>
    <dataValidation type="list" allowBlank="1" showErrorMessage="1" sqref="B56">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55 B66">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 customWidth="1" min="5" max="5" width="23.13"/>
  </cols>
  <sheetData>
    <row r="1" ht="15.75" customHeight="1"/>
    <row r="2" ht="15.75" customHeight="1">
      <c r="B2" s="2" t="s">
        <v>228</v>
      </c>
    </row>
    <row r="3" ht="15.75" customHeight="1"/>
    <row r="4" ht="15.75" customHeight="1">
      <c r="B4" s="18" t="s">
        <v>1</v>
      </c>
      <c r="C4" s="110" t="str">
        <f>'Diseño'!C4</f>
        <v>796 - Lenguajes Formales y de Programación</v>
      </c>
      <c r="D4" s="24"/>
      <c r="E4" s="24"/>
      <c r="F4" s="24"/>
      <c r="G4" s="29"/>
    </row>
    <row r="5" ht="15.75" customHeight="1">
      <c r="B5" s="30" t="s">
        <v>24</v>
      </c>
      <c r="C5" s="28">
        <v>11.0</v>
      </c>
      <c r="D5" s="24"/>
      <c r="E5" s="24"/>
      <c r="F5" s="24"/>
      <c r="G5" s="29"/>
    </row>
    <row r="6" ht="15.75" customHeight="1">
      <c r="B6" s="89" t="s">
        <v>27</v>
      </c>
      <c r="C6" s="28">
        <f>H10+H21+H53+H77</f>
        <v>110</v>
      </c>
      <c r="D6" s="24"/>
      <c r="E6" s="24"/>
      <c r="F6" s="24"/>
      <c r="G6" s="29"/>
      <c r="I6" s="6"/>
    </row>
    <row r="7" ht="15.75" customHeight="1">
      <c r="B7" s="89" t="s">
        <v>229</v>
      </c>
      <c r="C7" s="28">
        <f>B58+B69</f>
        <v>0</v>
      </c>
      <c r="D7" s="24"/>
      <c r="E7" s="24"/>
      <c r="F7" s="24"/>
      <c r="G7" s="29"/>
    </row>
    <row r="8" ht="15.75" customHeight="1">
      <c r="B8" s="89" t="s">
        <v>230</v>
      </c>
      <c r="C8" s="111" t="str">
        <f>IF(H53&lt;=0, "❌ ERROR: La Actividad 1 debe tener un tiempo mayor a 0.", IF(H21&gt;60, "❌ ERROR: El 'Área de Conocimiento' no puede exceder los 60 min.", IF((H10+H21+H53)&lt;100, "❌ ERROR: El tiempo total debe ser de al menos 100 min.", "✅ VALIDACIÓN CORRECTA")))</f>
        <v>✅ VALIDACIÓN CORRECTA</v>
      </c>
      <c r="D8" s="24"/>
      <c r="E8" s="24"/>
      <c r="F8" s="24"/>
      <c r="G8" s="29"/>
      <c r="I8" s="6"/>
      <c r="J8" s="6"/>
      <c r="K8" s="6"/>
    </row>
    <row r="9" ht="15.75" customHeight="1"/>
    <row r="10" ht="15.75" customHeight="1">
      <c r="A10" s="112" t="s">
        <v>231</v>
      </c>
      <c r="G10" s="84" t="s">
        <v>36</v>
      </c>
      <c r="H10" s="113">
        <v>5.0</v>
      </c>
    </row>
    <row r="11" ht="15.75" customHeight="1">
      <c r="G11" s="45" t="s">
        <v>232</v>
      </c>
    </row>
    <row r="12" ht="15.75" customHeight="1">
      <c r="A12" s="58" t="s">
        <v>233</v>
      </c>
      <c r="B12" s="72" t="s">
        <v>330</v>
      </c>
      <c r="C12" s="24"/>
      <c r="D12" s="24"/>
      <c r="E12" s="24"/>
      <c r="F12" s="24"/>
      <c r="G12" s="24"/>
      <c r="H12" s="29"/>
    </row>
    <row r="13" ht="15.75" customHeight="1">
      <c r="A13" s="68" t="s">
        <v>36</v>
      </c>
      <c r="B13" s="72">
        <v>5.0</v>
      </c>
      <c r="C13" s="24"/>
      <c r="D13" s="24"/>
      <c r="E13" s="24"/>
      <c r="F13" s="24"/>
      <c r="G13" s="24"/>
      <c r="H13" s="29"/>
    </row>
    <row r="14" ht="15.75" customHeight="1">
      <c r="A14" s="114" t="s">
        <v>235</v>
      </c>
      <c r="B14" s="24"/>
      <c r="C14" s="24"/>
      <c r="D14" s="24"/>
      <c r="E14" s="24"/>
      <c r="F14" s="24"/>
      <c r="G14" s="24"/>
      <c r="H14" s="29"/>
    </row>
    <row r="15" ht="15.75" customHeight="1">
      <c r="A15" s="116" t="s">
        <v>337</v>
      </c>
      <c r="B15" s="100"/>
      <c r="C15" s="100"/>
      <c r="D15" s="100"/>
      <c r="E15" s="100"/>
      <c r="F15" s="100"/>
      <c r="G15" s="100"/>
      <c r="H15" s="101"/>
    </row>
    <row r="16" ht="15.75" customHeight="1">
      <c r="A16" s="102"/>
      <c r="B16" s="103"/>
      <c r="C16" s="103"/>
      <c r="D16" s="103"/>
      <c r="E16" s="103"/>
      <c r="F16" s="103"/>
      <c r="G16" s="103"/>
      <c r="H16" s="104"/>
    </row>
    <row r="17" ht="15.75" customHeight="1">
      <c r="A17" s="114" t="s">
        <v>238</v>
      </c>
      <c r="B17" s="24"/>
      <c r="C17" s="24"/>
      <c r="D17" s="24"/>
      <c r="E17" s="24"/>
      <c r="F17" s="24"/>
      <c r="G17" s="24"/>
      <c r="H17" s="29"/>
    </row>
    <row r="18" ht="15.75" customHeight="1">
      <c r="A18" s="130"/>
      <c r="B18" s="100"/>
      <c r="C18" s="100"/>
      <c r="D18" s="100"/>
      <c r="E18" s="100"/>
      <c r="F18" s="100"/>
      <c r="G18" s="100"/>
      <c r="H18" s="101"/>
    </row>
    <row r="19" ht="15.75" customHeight="1">
      <c r="A19" s="102"/>
      <c r="B19" s="103"/>
      <c r="C19" s="103"/>
      <c r="D19" s="103"/>
      <c r="E19" s="103"/>
      <c r="F19" s="103"/>
      <c r="G19" s="103"/>
      <c r="H19" s="104"/>
    </row>
    <row r="20" ht="15.75" customHeight="1"/>
    <row r="21" ht="15.75" customHeight="1">
      <c r="A21" s="112" t="s">
        <v>241</v>
      </c>
      <c r="G21" s="84" t="s">
        <v>36</v>
      </c>
      <c r="H21" s="113">
        <v>60.0</v>
      </c>
      <c r="I21" s="6"/>
    </row>
    <row r="22" ht="15.75" customHeight="1">
      <c r="G22" s="45" t="s">
        <v>243</v>
      </c>
    </row>
    <row r="23" ht="15.75" customHeight="1">
      <c r="A23" s="58" t="s">
        <v>244</v>
      </c>
      <c r="B23" s="72" t="s">
        <v>282</v>
      </c>
      <c r="C23" s="24"/>
      <c r="D23" s="24"/>
      <c r="E23" s="24"/>
      <c r="F23" s="24"/>
      <c r="G23" s="24"/>
      <c r="H23" s="29"/>
    </row>
    <row r="24" ht="15.75" customHeight="1">
      <c r="A24" s="58" t="s">
        <v>244</v>
      </c>
      <c r="B24" s="28"/>
      <c r="C24" s="24"/>
      <c r="D24" s="24"/>
      <c r="E24" s="24"/>
      <c r="F24" s="24"/>
      <c r="G24" s="24"/>
      <c r="H24" s="29"/>
    </row>
    <row r="25" ht="15.75" customHeight="1">
      <c r="C25" s="144"/>
    </row>
    <row r="26" ht="15.75" customHeight="1">
      <c r="A26" s="118" t="s">
        <v>246</v>
      </c>
      <c r="B26" s="6"/>
      <c r="C26" s="6"/>
      <c r="D26" s="6"/>
    </row>
    <row r="27" ht="15.75" customHeight="1">
      <c r="A27" s="119" t="s">
        <v>17</v>
      </c>
      <c r="B27" s="120" t="s">
        <v>247</v>
      </c>
      <c r="C27" s="29"/>
      <c r="D27" s="120" t="s">
        <v>248</v>
      </c>
      <c r="E27" s="29"/>
      <c r="F27" s="120" t="s">
        <v>249</v>
      </c>
      <c r="G27" s="24"/>
      <c r="H27" s="29"/>
    </row>
    <row r="28" ht="15.75" customHeight="1">
      <c r="A28" s="30">
        <v>1.0</v>
      </c>
      <c r="B28" s="28" t="str">
        <f>IFERROR(__xludf.DUMMYFUNCTION("FILTER('Diseño'!D:D,'Diseño'!H:H=$C$5)"),"Analisis Sintactico")</f>
        <v>Analisis Sintactico</v>
      </c>
      <c r="C28" s="29"/>
      <c r="D28" s="28" t="str">
        <f>IFERROR(__xludf.DUMMYFUNCTION("FILTER('Diseño'!E:E,'Diseño'!H:H=$C$5)"),"Arboles de Derivacion y Ambigueadad")</f>
        <v>Arboles de Derivacion y Ambigueadad</v>
      </c>
      <c r="E28" s="29"/>
      <c r="F28" s="28" t="str">
        <f>IFERROR(__xludf.DUMMYFUNCTION("FILTER('Diseño'!F:F,'Diseño'!H:H=$C$5)"),"Árboles de derivación")</f>
        <v>Árboles de derivación</v>
      </c>
      <c r="G28" s="24"/>
      <c r="H28" s="29"/>
    </row>
    <row r="29" ht="15.75" customHeight="1">
      <c r="A29" s="30">
        <v>2.0</v>
      </c>
      <c r="B29" s="36" t="str">
        <f>IFERROR(__xludf.DUMMYFUNCTION("""COMPUTED_VALUE"""),"Analisis Sintactico")</f>
        <v>Analisis Sintactico</v>
      </c>
      <c r="C29" s="29"/>
      <c r="D29" s="36" t="str">
        <f>IFERROR(__xludf.DUMMYFUNCTION("""COMPUTED_VALUE"""),"Arboles de Derivacion y Ambigueadad")</f>
        <v>Arboles de Derivacion y Ambigueadad</v>
      </c>
      <c r="E29" s="29"/>
      <c r="F29" s="52" t="str">
        <f>IFERROR(__xludf.DUMMYFUNCTION("""COMPUTED_VALUE"""),"Definición y construcción de árboles de derivación")</f>
        <v>Definición y construcción de árboles de derivación</v>
      </c>
      <c r="G29" s="24"/>
      <c r="H29" s="29"/>
    </row>
    <row r="30" ht="15.75" customHeight="1">
      <c r="A30" s="30">
        <v>3.0</v>
      </c>
      <c r="B30" s="36" t="str">
        <f>IFERROR(__xludf.DUMMYFUNCTION("""COMPUTED_VALUE"""),"Analisis Sintactico")</f>
        <v>Analisis Sintactico</v>
      </c>
      <c r="C30" s="29"/>
      <c r="D30" s="36" t="str">
        <f>IFERROR(__xludf.DUMMYFUNCTION("""COMPUTED_VALUE"""),"Arboles de Derivacion y Ambigueadad")</f>
        <v>Arboles de Derivacion y Ambigueadad</v>
      </c>
      <c r="E30" s="29"/>
      <c r="F30" s="52" t="str">
        <f>IFERROR(__xludf.DUMMYFUNCTION("""COMPUTED_VALUE"""),"Ambigüedad")</f>
        <v>Ambigüedad</v>
      </c>
      <c r="G30" s="24"/>
      <c r="H30" s="29"/>
    </row>
    <row r="31" ht="15.75" customHeight="1">
      <c r="A31" s="30">
        <v>4.0</v>
      </c>
      <c r="B31" s="36" t="str">
        <f>IFERROR(__xludf.DUMMYFUNCTION("""COMPUTED_VALUE"""),"Analisis Sintactico")</f>
        <v>Analisis Sintactico</v>
      </c>
      <c r="C31" s="29"/>
      <c r="D31" s="36" t="str">
        <f>IFERROR(__xludf.DUMMYFUNCTION("""COMPUTED_VALUE"""),"Arboles de Derivacion y Ambigueadad")</f>
        <v>Arboles de Derivacion y Ambigueadad</v>
      </c>
      <c r="E31" s="29"/>
      <c r="F31" s="52" t="str">
        <f>IFERROR(__xludf.DUMMYFUNCTION("""COMPUTED_VALUE"""),"Concepto de ambigüedad en gramáticas")</f>
        <v>Concepto de ambigüedad en gramáticas</v>
      </c>
      <c r="G31" s="24"/>
      <c r="H31" s="29"/>
    </row>
    <row r="32" ht="15.75" customHeight="1">
      <c r="A32" s="30">
        <v>5.0</v>
      </c>
      <c r="B32" s="36" t="str">
        <f>IFERROR(__xludf.DUMMYFUNCTION("""COMPUTED_VALUE"""),"Analisis Sintactico")</f>
        <v>Analisis Sintactico</v>
      </c>
      <c r="C32" s="29"/>
      <c r="D32" s="36" t="str">
        <f>IFERROR(__xludf.DUMMYFUNCTION("""COMPUTED_VALUE"""),"Arboles de Derivacion y Ambigueadad")</f>
        <v>Arboles de Derivacion y Ambigueadad</v>
      </c>
      <c r="E32" s="29"/>
      <c r="F32" s="52" t="str">
        <f>IFERROR(__xludf.DUMMYFUNCTION("""COMPUTED_VALUE"""),"Ejemplos de gramáticas ambiguas")</f>
        <v>Ejemplos de gramáticas ambiguas</v>
      </c>
      <c r="G32" s="24"/>
      <c r="H32" s="29"/>
    </row>
    <row r="33" ht="15.75" customHeight="1">
      <c r="A33" s="30">
        <v>6.0</v>
      </c>
      <c r="B33" s="36" t="str">
        <f>IFERROR(__xludf.DUMMYFUNCTION("""COMPUTED_VALUE"""),"Analisis Sintactico")</f>
        <v>Analisis Sintactico</v>
      </c>
      <c r="C33" s="29"/>
      <c r="D33" s="36" t="str">
        <f>IFERROR(__xludf.DUMMYFUNCTION("""COMPUTED_VALUE"""),"Arboles de Derivacion y Ambigueadad")</f>
        <v>Arboles de Derivacion y Ambigueadad</v>
      </c>
      <c r="E33" s="29"/>
      <c r="F33" s="52" t="str">
        <f>IFERROR(__xludf.DUMMYFUNCTION("""COMPUTED_VALUE"""),"Recursividad")</f>
        <v>Recursividad</v>
      </c>
      <c r="G33" s="24"/>
      <c r="H33" s="29"/>
    </row>
    <row r="34" ht="15.75" customHeight="1">
      <c r="A34" s="30">
        <v>7.0</v>
      </c>
      <c r="B34" s="36" t="str">
        <f>IFERROR(__xludf.DUMMYFUNCTION("""COMPUTED_VALUE"""),"Analisis Sintactico")</f>
        <v>Analisis Sintactico</v>
      </c>
      <c r="C34" s="29"/>
      <c r="D34" s="36" t="str">
        <f>IFERROR(__xludf.DUMMYFUNCTION("""COMPUTED_VALUE"""),"Arboles de Derivacion y Ambigueadad")</f>
        <v>Arboles de Derivacion y Ambigueadad</v>
      </c>
      <c r="E34" s="29"/>
      <c r="F34" s="52" t="str">
        <f>IFERROR(__xludf.DUMMYFUNCTION("""COMPUTED_VALUE"""),"Definición de recursividad en gramáticas")</f>
        <v>Definición de recursividad en gramáticas</v>
      </c>
      <c r="G34" s="24"/>
      <c r="H34" s="29"/>
    </row>
    <row r="35" ht="15.75" customHeight="1">
      <c r="A35" s="39">
        <v>8.0</v>
      </c>
      <c r="B35" s="36" t="str">
        <f>IFERROR(__xludf.DUMMYFUNCTION("""COMPUTED_VALUE"""),"Analisis Sintactico")</f>
        <v>Analisis Sintactico</v>
      </c>
      <c r="C35" s="29"/>
      <c r="D35" s="36" t="str">
        <f>IFERROR(__xludf.DUMMYFUNCTION("""COMPUTED_VALUE"""),"Arboles de Derivacion y Ambigueadad")</f>
        <v>Arboles de Derivacion y Ambigueadad</v>
      </c>
      <c r="E35" s="29"/>
      <c r="F35" s="52" t="str">
        <f>IFERROR(__xludf.DUMMYFUNCTION("""COMPUTED_VALUE"""),"Ejemplos de gramáticas recursivas")</f>
        <v>Ejemplos de gramáticas recursivas</v>
      </c>
      <c r="G35" s="24"/>
      <c r="H35" s="29"/>
    </row>
    <row r="36" ht="15.75" customHeight="1">
      <c r="A36" s="39">
        <v>9.0</v>
      </c>
      <c r="B36" s="36" t="str">
        <f>IFERROR(__xludf.DUMMYFUNCTION("""COMPUTED_VALUE"""),"Analisis Sintactico")</f>
        <v>Analisis Sintactico</v>
      </c>
      <c r="C36" s="29"/>
      <c r="D36" s="52" t="str">
        <f>IFERROR(__xludf.DUMMYFUNCTION("""COMPUTED_VALUE"""),"Automatas de Pila")</f>
        <v>Automatas de Pila</v>
      </c>
      <c r="E36" s="29"/>
      <c r="F36" s="52" t="str">
        <f>IFERROR(__xludf.DUMMYFUNCTION("""COMPUTED_VALUE"""),"Introducción a los autómatas de pila")</f>
        <v>Introducción a los autómatas de pila</v>
      </c>
      <c r="G36" s="24"/>
      <c r="H36" s="29"/>
    </row>
    <row r="37" ht="15.75" customHeight="1">
      <c r="A37" s="39">
        <v>10.0</v>
      </c>
      <c r="B37" s="36" t="str">
        <f>IFERROR(__xludf.DUMMYFUNCTION("""COMPUTED_VALUE"""),"Analisis Sintactico")</f>
        <v>Analisis Sintactico</v>
      </c>
      <c r="C37" s="29"/>
      <c r="D37" s="52" t="str">
        <f>IFERROR(__xludf.DUMMYFUNCTION("""COMPUTED_VALUE"""),"Automatas de Pila")</f>
        <v>Automatas de Pila</v>
      </c>
      <c r="E37" s="29"/>
      <c r="F37" s="52" t="str">
        <f>IFERROR(__xludf.DUMMYFUNCTION("""COMPUTED_VALUE"""),"Definición y funcionamiento de un autómata de pila")</f>
        <v>Definición y funcionamiento de un autómata de pila</v>
      </c>
      <c r="G37" s="24"/>
      <c r="H37" s="29"/>
    </row>
    <row r="38" ht="15.75" customHeight="1">
      <c r="A38" s="39">
        <v>11.0</v>
      </c>
      <c r="B38" s="36" t="str">
        <f>IFERROR(__xludf.DUMMYFUNCTION("""COMPUTED_VALUE"""),"Analisis Sintactico")</f>
        <v>Analisis Sintactico</v>
      </c>
      <c r="C38" s="29"/>
      <c r="D38" s="52" t="str">
        <f>IFERROR(__xludf.DUMMYFUNCTION("""COMPUTED_VALUE"""),"Automatas de Pila")</f>
        <v>Automatas de Pila</v>
      </c>
      <c r="E38" s="29"/>
      <c r="F38" s="52" t="str">
        <f>IFERROR(__xludf.DUMMYFUNCTION("""COMPUTED_VALUE"""),"Diferencias entre autómatas de pila y autómatas finitos")</f>
        <v>Diferencias entre autómatas de pila y autómatas finitos</v>
      </c>
      <c r="G38" s="24"/>
      <c r="H38" s="29"/>
    </row>
    <row r="39" ht="15.75" customHeight="1">
      <c r="A39" s="39">
        <v>12.0</v>
      </c>
      <c r="B39" s="36" t="str">
        <f>IFERROR(__xludf.DUMMYFUNCTION("""COMPUTED_VALUE"""),"Analisis Sintactico")</f>
        <v>Analisis Sintactico</v>
      </c>
      <c r="C39" s="29"/>
      <c r="D39" s="52" t="str">
        <f>IFERROR(__xludf.DUMMYFUNCTION("""COMPUTED_VALUE"""),"Automatas de Pila")</f>
        <v>Automatas de Pila</v>
      </c>
      <c r="E39" s="29"/>
      <c r="F39" s="52" t="str">
        <f>IFERROR(__xludf.DUMMYFUNCTION("""COMPUTED_VALUE"""),"Procesamiento")</f>
        <v>Procesamiento</v>
      </c>
      <c r="G39" s="24"/>
      <c r="H39" s="29"/>
    </row>
    <row r="40" ht="15.75" customHeight="1">
      <c r="A40" s="39">
        <v>13.0</v>
      </c>
      <c r="B40" s="36" t="str">
        <f>IFERROR(__xludf.DUMMYFUNCTION("""COMPUTED_VALUE"""),"Analisis Sintactico")</f>
        <v>Analisis Sintactico</v>
      </c>
      <c r="C40" s="29"/>
      <c r="D40" s="52" t="str">
        <f>IFERROR(__xludf.DUMMYFUNCTION("""COMPUTED_VALUE"""),"Automatas de Pila")</f>
        <v>Automatas de Pila</v>
      </c>
      <c r="E40" s="29"/>
      <c r="F40" s="52" t="str">
        <f>IFERROR(__xludf.DUMMYFUNCTION("""COMPUTED_VALUE"""),"Tipos de aceptación")</f>
        <v>Tipos de aceptación</v>
      </c>
      <c r="G40" s="24"/>
      <c r="H40" s="29"/>
    </row>
    <row r="41" ht="15.75" customHeight="1">
      <c r="A41" s="39">
        <v>14.0</v>
      </c>
      <c r="B41" s="36" t="str">
        <f>IFERROR(__xludf.DUMMYFUNCTION("""COMPUTED_VALUE"""),"Analisis Sintactico")</f>
        <v>Analisis Sintactico</v>
      </c>
      <c r="C41" s="29"/>
      <c r="D41" s="52" t="str">
        <f>IFERROR(__xludf.DUMMYFUNCTION("""COMPUTED_VALUE"""),"Automatas de Pila")</f>
        <v>Automatas de Pila</v>
      </c>
      <c r="E41" s="29"/>
      <c r="F41" s="52" t="str">
        <f>IFERROR(__xludf.DUMMYFUNCTION("""COMPUTED_VALUE"""),"Estado Final")</f>
        <v>Estado Final</v>
      </c>
      <c r="G41" s="24"/>
      <c r="H41" s="29"/>
    </row>
    <row r="42" ht="15.75" customHeight="1">
      <c r="A42" s="39">
        <v>15.0</v>
      </c>
      <c r="B42" s="36" t="str">
        <f>IFERROR(__xludf.DUMMYFUNCTION("""COMPUTED_VALUE"""),"Analisis Sintactico")</f>
        <v>Analisis Sintactico</v>
      </c>
      <c r="C42" s="29"/>
      <c r="D42" s="52" t="str">
        <f>IFERROR(__xludf.DUMMYFUNCTION("""COMPUTED_VALUE"""),"Automatas de Pila")</f>
        <v>Automatas de Pila</v>
      </c>
      <c r="E42" s="29"/>
      <c r="F42" s="52" t="str">
        <f>IFERROR(__xludf.DUMMYFUNCTION("""COMPUTED_VALUE"""),"Pila vacía")</f>
        <v>Pila vacía</v>
      </c>
      <c r="G42" s="24"/>
      <c r="H42" s="29"/>
    </row>
    <row r="43" ht="15.75" customHeight="1">
      <c r="A43" s="39">
        <v>16.0</v>
      </c>
      <c r="B43" s="36" t="str">
        <f>IFERROR(__xludf.DUMMYFUNCTION("""COMPUTED_VALUE"""),"Analisis Sintactico")</f>
        <v>Analisis Sintactico</v>
      </c>
      <c r="C43" s="29"/>
      <c r="D43" s="52" t="str">
        <f>IFERROR(__xludf.DUMMYFUNCTION("""COMPUTED_VALUE"""),"Automatas de Pila")</f>
        <v>Automatas de Pila</v>
      </c>
      <c r="E43" s="29"/>
      <c r="F43" s="52" t="str">
        <f>IFERROR(__xludf.DUMMYFUNCTION("""COMPUTED_VALUE"""),"Autómata de Pila desde Gramática Tipo 2")</f>
        <v>Autómata de Pila desde Gramática Tipo 2</v>
      </c>
      <c r="G43" s="24"/>
      <c r="H43" s="29"/>
    </row>
    <row r="44" ht="15.75" customHeight="1"/>
    <row r="45" ht="15.75" customHeight="1">
      <c r="A45" s="118" t="s">
        <v>254</v>
      </c>
    </row>
    <row r="46" ht="15.75" customHeight="1">
      <c r="A46" s="6"/>
      <c r="B46" s="6"/>
      <c r="C46" s="6"/>
      <c r="D46" s="6"/>
      <c r="E46" s="6"/>
      <c r="F46" s="6"/>
      <c r="G46" s="6"/>
      <c r="H46" s="6"/>
    </row>
    <row r="47">
      <c r="A47" s="119" t="s">
        <v>255</v>
      </c>
      <c r="B47" s="119" t="s">
        <v>56</v>
      </c>
      <c r="C47" s="124" t="s">
        <v>256</v>
      </c>
      <c r="D47" s="126" t="s">
        <v>257</v>
      </c>
      <c r="E47" s="24"/>
      <c r="F47" s="24"/>
      <c r="G47" s="24"/>
      <c r="H47" s="29"/>
      <c r="I47" s="127" t="s">
        <v>103</v>
      </c>
    </row>
    <row r="48" ht="15.75" customHeight="1">
      <c r="A48" s="30" t="s">
        <v>258</v>
      </c>
      <c r="B48" s="30" t="s">
        <v>259</v>
      </c>
      <c r="C48" s="34" t="s">
        <v>294</v>
      </c>
      <c r="D48" s="36">
        <v>25.0</v>
      </c>
      <c r="E48" s="24"/>
      <c r="F48" s="24"/>
      <c r="G48" s="24"/>
      <c r="H48" s="29"/>
      <c r="I48" s="30" t="str">
        <f t="shared" ref="I48:I51" si="1">IF(D48&lt;=C48,"Correcto", "Corregir")</f>
        <v>Correcto</v>
      </c>
    </row>
    <row r="49" ht="15.75" customHeight="1">
      <c r="A49" s="30" t="s">
        <v>260</v>
      </c>
      <c r="B49" s="30" t="s">
        <v>259</v>
      </c>
      <c r="C49" s="34" t="s">
        <v>296</v>
      </c>
      <c r="D49" s="36">
        <v>10.0</v>
      </c>
      <c r="E49" s="24"/>
      <c r="F49" s="24"/>
      <c r="G49" s="24"/>
      <c r="H49" s="29"/>
      <c r="I49" s="30" t="str">
        <f t="shared" si="1"/>
        <v>Correcto</v>
      </c>
    </row>
    <row r="50" ht="15.75" customHeight="1">
      <c r="A50" s="30" t="s">
        <v>261</v>
      </c>
      <c r="B50" s="30" t="s">
        <v>262</v>
      </c>
      <c r="C50" s="34" t="s">
        <v>298</v>
      </c>
      <c r="D50" s="36">
        <v>15.0</v>
      </c>
      <c r="E50" s="24"/>
      <c r="F50" s="24"/>
      <c r="G50" s="24"/>
      <c r="H50" s="29"/>
      <c r="I50" s="30" t="str">
        <f t="shared" si="1"/>
        <v>Correcto</v>
      </c>
    </row>
    <row r="51" ht="15.75" customHeight="1">
      <c r="A51" s="30" t="s">
        <v>263</v>
      </c>
      <c r="B51" s="30" t="s">
        <v>259</v>
      </c>
      <c r="C51" s="34" t="s">
        <v>296</v>
      </c>
      <c r="D51" s="36">
        <v>10.0</v>
      </c>
      <c r="E51" s="24"/>
      <c r="F51" s="24"/>
      <c r="G51" s="24"/>
      <c r="H51" s="29"/>
      <c r="I51" s="30" t="str">
        <f t="shared" si="1"/>
        <v>Correcto</v>
      </c>
    </row>
    <row r="52" ht="15.75" customHeight="1"/>
    <row r="53" ht="15.75" customHeight="1">
      <c r="A53" s="112" t="s">
        <v>264</v>
      </c>
      <c r="G53" s="84" t="s">
        <v>36</v>
      </c>
      <c r="H53" s="113">
        <v>35.0</v>
      </c>
    </row>
    <row r="54" ht="15.75" customHeight="1">
      <c r="G54" s="45" t="s">
        <v>265</v>
      </c>
    </row>
    <row r="55" ht="15.75" customHeight="1">
      <c r="A55" s="45" t="s">
        <v>266</v>
      </c>
    </row>
    <row r="56">
      <c r="A56" s="58" t="s">
        <v>267</v>
      </c>
      <c r="B56" s="72" t="s">
        <v>150</v>
      </c>
      <c r="C56" s="24"/>
      <c r="D56" s="24"/>
      <c r="E56" s="24"/>
      <c r="F56" s="24"/>
      <c r="G56" s="24"/>
      <c r="H56" s="29"/>
    </row>
    <row r="57" ht="15.75" customHeight="1">
      <c r="A57" s="58" t="s">
        <v>8</v>
      </c>
      <c r="B57" s="72" t="s">
        <v>300</v>
      </c>
      <c r="C57" s="24"/>
      <c r="D57" s="24"/>
      <c r="E57" s="24"/>
      <c r="F57" s="24"/>
      <c r="G57" s="24"/>
      <c r="H57" s="29"/>
    </row>
    <row r="58" ht="15.75" customHeight="1">
      <c r="A58" s="58" t="s">
        <v>229</v>
      </c>
      <c r="B58" s="128">
        <v>0.0</v>
      </c>
      <c r="C58" s="24"/>
      <c r="D58" s="24"/>
      <c r="E58" s="24"/>
      <c r="F58" s="24"/>
      <c r="G58" s="24"/>
      <c r="H58" s="29"/>
    </row>
    <row r="59" ht="15.75" customHeight="1">
      <c r="A59" s="58" t="s">
        <v>36</v>
      </c>
      <c r="B59" s="72">
        <v>35.0</v>
      </c>
      <c r="C59" s="24"/>
      <c r="D59" s="24"/>
      <c r="E59" s="24"/>
      <c r="F59" s="24"/>
      <c r="G59" s="24"/>
      <c r="H59" s="29"/>
    </row>
    <row r="60" ht="15.75" customHeight="1">
      <c r="A60" s="129" t="s">
        <v>270</v>
      </c>
      <c r="B60" s="6"/>
      <c r="C60" s="6"/>
      <c r="D60" s="6"/>
      <c r="E60" s="6"/>
      <c r="F60" s="6"/>
      <c r="G60" s="6"/>
      <c r="H60" s="6"/>
    </row>
    <row r="61" ht="15.75" customHeight="1">
      <c r="A61" s="114" t="s">
        <v>271</v>
      </c>
      <c r="B61" s="24"/>
      <c r="C61" s="24"/>
      <c r="D61" s="24"/>
      <c r="E61" s="24"/>
      <c r="F61" s="24"/>
      <c r="G61" s="24"/>
      <c r="H61" s="29"/>
    </row>
    <row r="62" ht="15.75" customHeight="1">
      <c r="A62" s="130"/>
      <c r="B62" s="100"/>
      <c r="C62" s="100"/>
      <c r="D62" s="100"/>
      <c r="E62" s="100"/>
      <c r="F62" s="100"/>
      <c r="G62" s="100"/>
      <c r="H62" s="101"/>
    </row>
    <row r="63" ht="15.75" customHeight="1">
      <c r="A63" s="131"/>
      <c r="H63" s="132"/>
    </row>
    <row r="64" ht="15.75" customHeight="1">
      <c r="A64" s="102"/>
      <c r="B64" s="103"/>
      <c r="C64" s="103"/>
      <c r="D64" s="103"/>
      <c r="E64" s="103"/>
      <c r="F64" s="103"/>
      <c r="G64" s="103"/>
      <c r="H64" s="104"/>
    </row>
    <row r="65" ht="15.75" customHeight="1"/>
    <row r="66" ht="15.75" customHeight="1">
      <c r="A66" s="45" t="s">
        <v>272</v>
      </c>
    </row>
    <row r="67">
      <c r="A67" s="58" t="s">
        <v>267</v>
      </c>
      <c r="B67" s="28"/>
      <c r="C67" s="24"/>
      <c r="D67" s="24"/>
      <c r="E67" s="24"/>
      <c r="F67" s="24"/>
      <c r="G67" s="24"/>
      <c r="H67" s="29"/>
    </row>
    <row r="68" ht="15.75" customHeight="1">
      <c r="A68" s="58" t="s">
        <v>8</v>
      </c>
      <c r="B68" s="28"/>
      <c r="C68" s="24"/>
      <c r="D68" s="24"/>
      <c r="E68" s="24"/>
      <c r="F68" s="24"/>
      <c r="G68" s="24"/>
      <c r="H68" s="29"/>
    </row>
    <row r="69" ht="15.75" customHeight="1">
      <c r="A69" s="58" t="s">
        <v>229</v>
      </c>
      <c r="B69" s="128"/>
      <c r="C69" s="24"/>
      <c r="D69" s="24"/>
      <c r="E69" s="24"/>
      <c r="F69" s="24"/>
      <c r="G69" s="24"/>
      <c r="H69" s="29"/>
    </row>
    <row r="70" ht="15.75" customHeight="1">
      <c r="A70" s="58" t="s">
        <v>36</v>
      </c>
      <c r="B70" s="128"/>
      <c r="C70" s="24"/>
      <c r="D70" s="24"/>
      <c r="E70" s="24"/>
      <c r="F70" s="24"/>
      <c r="G70" s="24"/>
      <c r="H70" s="29"/>
    </row>
    <row r="71" ht="15.75" customHeight="1">
      <c r="A71" s="133" t="s">
        <v>273</v>
      </c>
      <c r="B71" s="6"/>
      <c r="C71" s="6"/>
      <c r="D71" s="6"/>
      <c r="E71" s="6"/>
      <c r="F71" s="6"/>
      <c r="G71" s="6"/>
      <c r="H71" s="6"/>
    </row>
    <row r="72" ht="15.75" customHeight="1">
      <c r="A72" s="114" t="s">
        <v>271</v>
      </c>
      <c r="B72" s="24"/>
      <c r="C72" s="24"/>
      <c r="D72" s="24"/>
      <c r="E72" s="24"/>
      <c r="F72" s="24"/>
      <c r="G72" s="24"/>
      <c r="H72" s="29"/>
    </row>
    <row r="73" ht="15.75" customHeight="1">
      <c r="A73" s="130"/>
      <c r="B73" s="100"/>
      <c r="C73" s="100"/>
      <c r="D73" s="100"/>
      <c r="E73" s="100"/>
      <c r="F73" s="100"/>
      <c r="G73" s="100"/>
      <c r="H73" s="101"/>
    </row>
    <row r="74" ht="15.75" customHeight="1">
      <c r="A74" s="131"/>
      <c r="H74" s="132"/>
    </row>
    <row r="75" ht="15.75" customHeight="1">
      <c r="A75" s="102"/>
      <c r="B75" s="103"/>
      <c r="C75" s="103"/>
      <c r="D75" s="103"/>
      <c r="E75" s="103"/>
      <c r="F75" s="103"/>
      <c r="G75" s="103"/>
      <c r="H75" s="104"/>
    </row>
    <row r="76" ht="15.75" customHeight="1"/>
    <row r="77" ht="15.75" customHeight="1">
      <c r="A77" s="112" t="s">
        <v>274</v>
      </c>
      <c r="G77" s="84" t="s">
        <v>36</v>
      </c>
      <c r="H77" s="113">
        <v>10.0</v>
      </c>
    </row>
    <row r="78" ht="15.75" customHeight="1">
      <c r="G78" s="45" t="s">
        <v>275</v>
      </c>
    </row>
    <row r="79" ht="15.75" customHeight="1">
      <c r="A79" s="58" t="s">
        <v>36</v>
      </c>
      <c r="B79" s="128"/>
      <c r="C79" s="24"/>
      <c r="D79" s="24"/>
      <c r="E79" s="24"/>
      <c r="F79" s="24"/>
      <c r="G79" s="24"/>
      <c r="H79" s="29"/>
    </row>
    <row r="80" ht="15.75" customHeight="1">
      <c r="A80" s="126" t="s">
        <v>276</v>
      </c>
      <c r="B80" s="24"/>
      <c r="C80" s="24"/>
      <c r="D80" s="24"/>
      <c r="E80" s="24"/>
      <c r="F80" s="24"/>
      <c r="G80" s="24"/>
      <c r="H80" s="29"/>
    </row>
    <row r="81" ht="15.75" customHeight="1">
      <c r="A81" s="130"/>
      <c r="B81" s="100"/>
      <c r="C81" s="100"/>
      <c r="D81" s="100"/>
      <c r="E81" s="100"/>
      <c r="F81" s="100"/>
      <c r="G81" s="100"/>
      <c r="H81" s="101"/>
    </row>
    <row r="82" ht="15.75" customHeight="1">
      <c r="A82" s="102"/>
      <c r="B82" s="103"/>
      <c r="C82" s="103"/>
      <c r="D82" s="103"/>
      <c r="E82" s="103"/>
      <c r="F82" s="103"/>
      <c r="G82" s="103"/>
      <c r="H82" s="104"/>
    </row>
    <row r="83" ht="15.75" customHeight="1">
      <c r="A83" s="45" t="s">
        <v>277</v>
      </c>
    </row>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sheetData>
  <mergeCells count="8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D34:E34"/>
    <mergeCell ref="F34:H34"/>
    <mergeCell ref="B32:C32"/>
    <mergeCell ref="D32:E32"/>
    <mergeCell ref="F32:H32"/>
    <mergeCell ref="B33:C33"/>
    <mergeCell ref="D33:E33"/>
    <mergeCell ref="F33:H33"/>
    <mergeCell ref="B34:C34"/>
    <mergeCell ref="B79:H79"/>
    <mergeCell ref="A80:H80"/>
    <mergeCell ref="A81:H82"/>
    <mergeCell ref="B67:H67"/>
    <mergeCell ref="B68:H68"/>
    <mergeCell ref="B69:H69"/>
    <mergeCell ref="B70:H70"/>
    <mergeCell ref="A72:H72"/>
    <mergeCell ref="A73:H75"/>
    <mergeCell ref="A77:F77"/>
    <mergeCell ref="D37:E37"/>
    <mergeCell ref="F37:H37"/>
    <mergeCell ref="B35:C35"/>
    <mergeCell ref="D35:E35"/>
    <mergeCell ref="F35:H35"/>
    <mergeCell ref="B36:C36"/>
    <mergeCell ref="D36:E36"/>
    <mergeCell ref="F36:H36"/>
    <mergeCell ref="B37:C37"/>
    <mergeCell ref="D40:E40"/>
    <mergeCell ref="F40:H40"/>
    <mergeCell ref="B38:C38"/>
    <mergeCell ref="D38:E38"/>
    <mergeCell ref="F38:H38"/>
    <mergeCell ref="B39:C39"/>
    <mergeCell ref="D39:E39"/>
    <mergeCell ref="F39:H39"/>
    <mergeCell ref="B40:C40"/>
    <mergeCell ref="B41:C41"/>
    <mergeCell ref="D41:E41"/>
    <mergeCell ref="F41:H41"/>
    <mergeCell ref="B42:C42"/>
    <mergeCell ref="D42:E42"/>
    <mergeCell ref="F42:H42"/>
    <mergeCell ref="B43:C43"/>
    <mergeCell ref="D43:E43"/>
    <mergeCell ref="F43:H43"/>
    <mergeCell ref="D47:H47"/>
    <mergeCell ref="D48:H48"/>
    <mergeCell ref="D49:H49"/>
    <mergeCell ref="D50:H50"/>
    <mergeCell ref="D51:H51"/>
    <mergeCell ref="A53:F53"/>
    <mergeCell ref="B56:H56"/>
    <mergeCell ref="B57:H57"/>
    <mergeCell ref="B58:H58"/>
    <mergeCell ref="B59:H59"/>
    <mergeCell ref="A61:H61"/>
    <mergeCell ref="A62:H64"/>
  </mergeCells>
  <conditionalFormatting sqref="D48:H51">
    <cfRule type="cellIs" dxfId="0" priority="1" operator="between">
      <formula>0</formula>
      <formula>45</formula>
    </cfRule>
  </conditionalFormatting>
  <dataValidations>
    <dataValidation type="list" allowBlank="1" showErrorMessage="1" sqref="B57">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56 B67">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 customWidth="1" min="8" max="8" width="27.75"/>
  </cols>
  <sheetData>
    <row r="1" ht="15.75" customHeight="1"/>
    <row r="2" ht="15.75" customHeight="1">
      <c r="B2" s="141" t="s">
        <v>28</v>
      </c>
    </row>
    <row r="3" ht="15.75" customHeight="1"/>
    <row r="4" ht="15.75" customHeight="1">
      <c r="B4" s="18" t="s">
        <v>1</v>
      </c>
      <c r="C4" s="28" t="str">
        <f>'Diseño'!C4</f>
        <v>796 - Lenguajes Formales y de Programación</v>
      </c>
      <c r="D4" s="24"/>
      <c r="E4" s="24"/>
      <c r="F4" s="24"/>
      <c r="G4" s="29"/>
    </row>
    <row r="5" ht="15.75" customHeight="1">
      <c r="B5" s="89" t="s">
        <v>27</v>
      </c>
      <c r="C5" s="28">
        <f>H9+H26+H43</f>
        <v>65</v>
      </c>
      <c r="D5" s="24"/>
      <c r="E5" s="24"/>
      <c r="F5" s="24"/>
      <c r="G5" s="29"/>
    </row>
    <row r="6" ht="15.75" customHeight="1">
      <c r="B6" s="89" t="s">
        <v>229</v>
      </c>
      <c r="C6" s="28">
        <f>F9+F26+F43</f>
        <v>65</v>
      </c>
      <c r="D6" s="24"/>
      <c r="E6" s="24"/>
      <c r="F6" s="24"/>
      <c r="G6" s="29"/>
    </row>
    <row r="7" ht="15.75" customHeight="1">
      <c r="B7" s="19" t="s">
        <v>311</v>
      </c>
    </row>
    <row r="8" ht="15.75" customHeight="1"/>
    <row r="9" ht="15.75" customHeight="1">
      <c r="A9" s="112" t="s">
        <v>312</v>
      </c>
      <c r="E9" s="84" t="s">
        <v>229</v>
      </c>
      <c r="F9" s="113">
        <v>25.0</v>
      </c>
      <c r="G9" s="84" t="s">
        <v>313</v>
      </c>
      <c r="H9" s="113">
        <v>20.0</v>
      </c>
    </row>
    <row r="10" ht="15.75" customHeight="1">
      <c r="A10" s="19" t="s">
        <v>259</v>
      </c>
      <c r="I10" s="142" t="s">
        <v>314</v>
      </c>
      <c r="J10" s="109"/>
      <c r="K10" s="109"/>
      <c r="L10" s="109"/>
      <c r="M10" s="109"/>
    </row>
    <row r="11" ht="28.5" customHeight="1">
      <c r="A11" s="119" t="s">
        <v>244</v>
      </c>
      <c r="B11" s="143" t="s">
        <v>315</v>
      </c>
      <c r="C11" s="24"/>
      <c r="D11" s="24"/>
      <c r="E11" s="24"/>
      <c r="F11" s="24"/>
      <c r="G11" s="24"/>
      <c r="H11" s="29"/>
      <c r="I11" s="144" t="s">
        <v>316</v>
      </c>
    </row>
    <row r="12" ht="29.25" customHeight="1">
      <c r="A12" s="119" t="s">
        <v>244</v>
      </c>
      <c r="B12" s="139" t="s">
        <v>282</v>
      </c>
      <c r="C12" s="24"/>
      <c r="D12" s="24"/>
      <c r="E12" s="24"/>
      <c r="F12" s="24"/>
      <c r="G12" s="24"/>
      <c r="H12" s="29"/>
      <c r="I12" s="144" t="s">
        <v>317</v>
      </c>
    </row>
    <row r="13" ht="15.75" customHeight="1">
      <c r="A13" s="119" t="s">
        <v>244</v>
      </c>
      <c r="B13" s="88"/>
      <c r="C13" s="24"/>
      <c r="D13" s="24"/>
      <c r="E13" s="24"/>
      <c r="F13" s="24"/>
      <c r="G13" s="24"/>
      <c r="H13" s="29"/>
    </row>
    <row r="14" ht="15.75" customHeight="1">
      <c r="A14" s="119" t="s">
        <v>318</v>
      </c>
      <c r="B14" s="144" t="s">
        <v>319</v>
      </c>
    </row>
    <row r="15" ht="15.75" customHeight="1">
      <c r="A15" s="114" t="s">
        <v>320</v>
      </c>
      <c r="B15" s="24"/>
      <c r="C15" s="24"/>
      <c r="D15" s="24"/>
      <c r="E15" s="24"/>
      <c r="F15" s="24"/>
      <c r="G15" s="24"/>
      <c r="H15" s="29"/>
    </row>
    <row r="16" ht="15.75" customHeight="1">
      <c r="A16" s="116" t="s">
        <v>321</v>
      </c>
      <c r="B16" s="100"/>
      <c r="C16" s="100"/>
      <c r="D16" s="100"/>
      <c r="E16" s="100"/>
      <c r="F16" s="100"/>
      <c r="G16" s="100"/>
      <c r="H16" s="101"/>
    </row>
    <row r="17" ht="15.75" customHeight="1">
      <c r="A17" s="131"/>
      <c r="H17" s="132"/>
    </row>
    <row r="18" ht="15.75" customHeight="1">
      <c r="A18" s="102"/>
      <c r="B18" s="103"/>
      <c r="C18" s="103"/>
      <c r="D18" s="103"/>
      <c r="E18" s="103"/>
      <c r="F18" s="103"/>
      <c r="G18" s="103"/>
      <c r="H18" s="104"/>
    </row>
    <row r="19" ht="15.75" customHeight="1">
      <c r="A19" s="114" t="s">
        <v>322</v>
      </c>
      <c r="B19" s="24"/>
      <c r="C19" s="24"/>
      <c r="D19" s="24"/>
      <c r="E19" s="24"/>
      <c r="F19" s="24"/>
      <c r="G19" s="24"/>
      <c r="H19" s="29"/>
    </row>
    <row r="20" ht="15.75" customHeight="1">
      <c r="A20" s="116" t="s">
        <v>323</v>
      </c>
      <c r="B20" s="100"/>
      <c r="C20" s="100"/>
      <c r="D20" s="100"/>
      <c r="E20" s="100"/>
      <c r="F20" s="100"/>
      <c r="G20" s="100"/>
      <c r="H20" s="101"/>
    </row>
    <row r="21" ht="15.75" customHeight="1">
      <c r="A21" s="131"/>
      <c r="H21" s="132"/>
    </row>
    <row r="22" ht="15.75" customHeight="1">
      <c r="A22" s="131"/>
      <c r="H22" s="132"/>
    </row>
    <row r="23" ht="39.0" customHeight="1">
      <c r="A23" s="102"/>
      <c r="B23" s="103"/>
      <c r="C23" s="103"/>
      <c r="D23" s="103"/>
      <c r="E23" s="103"/>
      <c r="F23" s="103"/>
      <c r="G23" s="103"/>
      <c r="H23" s="104"/>
    </row>
    <row r="24" ht="15.75" customHeight="1"/>
    <row r="25" ht="15.75" customHeight="1"/>
    <row r="26" ht="15.75" customHeight="1">
      <c r="A26" s="112" t="s">
        <v>324</v>
      </c>
      <c r="E26" s="84" t="s">
        <v>229</v>
      </c>
      <c r="F26" s="113">
        <v>40.0</v>
      </c>
      <c r="G26" s="84" t="s">
        <v>313</v>
      </c>
      <c r="H26" s="113">
        <v>45.0</v>
      </c>
    </row>
    <row r="27" ht="15.75" customHeight="1">
      <c r="A27" s="19" t="s">
        <v>259</v>
      </c>
    </row>
    <row r="28" ht="15.75" customHeight="1">
      <c r="A28" s="119" t="s">
        <v>244</v>
      </c>
      <c r="B28" s="88"/>
      <c r="C28" s="24"/>
      <c r="D28" s="24"/>
      <c r="E28" s="24"/>
      <c r="F28" s="24"/>
      <c r="G28" s="24"/>
      <c r="H28" s="29"/>
      <c r="I28" s="144" t="s">
        <v>316</v>
      </c>
    </row>
    <row r="29" ht="31.5" customHeight="1">
      <c r="A29" s="119" t="s">
        <v>244</v>
      </c>
      <c r="B29" s="139" t="s">
        <v>96</v>
      </c>
      <c r="C29" s="24"/>
      <c r="D29" s="24"/>
      <c r="E29" s="24"/>
      <c r="F29" s="24"/>
      <c r="G29" s="24"/>
      <c r="H29" s="29"/>
      <c r="I29" s="144" t="s">
        <v>326</v>
      </c>
    </row>
    <row r="30" ht="15.75" customHeight="1">
      <c r="A30" s="119" t="s">
        <v>244</v>
      </c>
      <c r="B30" s="139" t="s">
        <v>282</v>
      </c>
      <c r="C30" s="24"/>
      <c r="D30" s="24"/>
      <c r="E30" s="24"/>
      <c r="F30" s="24"/>
      <c r="G30" s="24"/>
      <c r="H30" s="29"/>
      <c r="I30" s="144" t="s">
        <v>317</v>
      </c>
    </row>
    <row r="31" ht="15.75" customHeight="1">
      <c r="A31" s="119" t="s">
        <v>318</v>
      </c>
      <c r="B31" s="72" t="s">
        <v>327</v>
      </c>
      <c r="C31" s="24"/>
      <c r="D31" s="24"/>
      <c r="E31" s="24"/>
      <c r="F31" s="24"/>
      <c r="G31" s="24"/>
      <c r="H31" s="29"/>
    </row>
    <row r="32" ht="15.75" customHeight="1">
      <c r="A32" s="114" t="s">
        <v>320</v>
      </c>
      <c r="B32" s="24"/>
      <c r="C32" s="24"/>
      <c r="D32" s="24"/>
      <c r="E32" s="24"/>
      <c r="F32" s="24"/>
      <c r="G32" s="24"/>
      <c r="H32" s="29"/>
    </row>
    <row r="33" ht="15.75" customHeight="1">
      <c r="A33" s="145" t="s">
        <v>328</v>
      </c>
      <c r="B33" s="100"/>
      <c r="C33" s="100"/>
      <c r="D33" s="100"/>
      <c r="E33" s="100"/>
      <c r="F33" s="100"/>
      <c r="G33" s="100"/>
      <c r="H33" s="101"/>
    </row>
    <row r="34" ht="15.75" customHeight="1">
      <c r="A34" s="131"/>
      <c r="H34" s="132"/>
      <c r="I34" s="146" t="s">
        <v>329</v>
      </c>
      <c r="J34" s="109"/>
      <c r="K34" s="109"/>
      <c r="L34" s="109"/>
      <c r="M34" s="109"/>
      <c r="N34" s="109"/>
      <c r="O34" s="109"/>
    </row>
    <row r="35">
      <c r="A35" s="102"/>
      <c r="B35" s="103"/>
      <c r="C35" s="103"/>
      <c r="D35" s="103"/>
      <c r="E35" s="103"/>
      <c r="F35" s="103"/>
      <c r="G35" s="103"/>
      <c r="H35" s="104"/>
    </row>
    <row r="36" ht="15.75" customHeight="1">
      <c r="A36" s="114" t="s">
        <v>322</v>
      </c>
      <c r="B36" s="24"/>
      <c r="C36" s="24"/>
      <c r="D36" s="24"/>
      <c r="E36" s="24"/>
      <c r="F36" s="24"/>
      <c r="G36" s="24"/>
      <c r="H36" s="29"/>
    </row>
    <row r="37" ht="15.75" customHeight="1">
      <c r="A37" s="116" t="s">
        <v>332</v>
      </c>
      <c r="B37" s="100"/>
      <c r="C37" s="100"/>
      <c r="D37" s="100"/>
      <c r="E37" s="100"/>
      <c r="F37" s="100"/>
      <c r="G37" s="100"/>
      <c r="H37" s="101"/>
    </row>
    <row r="38" ht="15.75" customHeight="1">
      <c r="A38" s="131"/>
      <c r="H38" s="132"/>
    </row>
    <row r="39" ht="15.75" customHeight="1">
      <c r="A39" s="131"/>
      <c r="H39" s="132"/>
    </row>
    <row r="40" ht="15.75" customHeight="1">
      <c r="A40" s="102"/>
      <c r="B40" s="103"/>
      <c r="C40" s="103"/>
      <c r="D40" s="103"/>
      <c r="E40" s="103"/>
      <c r="F40" s="103"/>
      <c r="G40" s="103"/>
      <c r="H40" s="104"/>
    </row>
    <row r="41" ht="15.75" customHeight="1"/>
    <row r="42" ht="15.75" customHeight="1"/>
    <row r="43" ht="15.75" customHeight="1">
      <c r="A43" s="112" t="s">
        <v>335</v>
      </c>
      <c r="E43" s="84" t="s">
        <v>229</v>
      </c>
      <c r="F43" s="125"/>
      <c r="G43" s="84" t="s">
        <v>313</v>
      </c>
      <c r="H43" s="125"/>
    </row>
    <row r="44" ht="15.75" customHeight="1">
      <c r="A44" s="129" t="s">
        <v>336</v>
      </c>
    </row>
    <row r="45" ht="15.75" customHeight="1">
      <c r="A45" s="119" t="s">
        <v>244</v>
      </c>
      <c r="B45" s="28"/>
      <c r="C45" s="24"/>
      <c r="D45" s="24"/>
      <c r="E45" s="24"/>
      <c r="F45" s="24"/>
      <c r="G45" s="24"/>
      <c r="H45" s="29"/>
    </row>
    <row r="46" ht="15.75" customHeight="1">
      <c r="A46" s="119" t="s">
        <v>244</v>
      </c>
      <c r="B46" s="28"/>
      <c r="C46" s="24"/>
      <c r="D46" s="24"/>
      <c r="E46" s="24"/>
      <c r="F46" s="24"/>
      <c r="G46" s="24"/>
      <c r="H46" s="29"/>
    </row>
    <row r="47" ht="15.75" customHeight="1">
      <c r="A47" s="119" t="s">
        <v>244</v>
      </c>
      <c r="B47" s="28"/>
      <c r="C47" s="24"/>
      <c r="D47" s="24"/>
      <c r="E47" s="24"/>
      <c r="F47" s="24"/>
      <c r="G47" s="24"/>
      <c r="H47" s="29"/>
    </row>
    <row r="48" ht="15.75" customHeight="1">
      <c r="A48" s="119" t="s">
        <v>318</v>
      </c>
      <c r="B48" s="28"/>
      <c r="C48" s="24"/>
      <c r="D48" s="24"/>
      <c r="E48" s="24"/>
      <c r="F48" s="24"/>
      <c r="G48" s="24"/>
      <c r="H48" s="29"/>
    </row>
    <row r="49" ht="15.75" customHeight="1">
      <c r="A49" s="114" t="s">
        <v>320</v>
      </c>
      <c r="B49" s="24"/>
      <c r="C49" s="24"/>
      <c r="D49" s="24"/>
      <c r="E49" s="24"/>
      <c r="F49" s="24"/>
      <c r="G49" s="24"/>
      <c r="H49" s="29"/>
    </row>
    <row r="50" ht="15.75" customHeight="1">
      <c r="A50" s="130"/>
      <c r="B50" s="100"/>
      <c r="C50" s="100"/>
      <c r="D50" s="100"/>
      <c r="E50" s="100"/>
      <c r="F50" s="100"/>
      <c r="G50" s="100"/>
      <c r="H50" s="101"/>
    </row>
    <row r="51" ht="15.75" customHeight="1">
      <c r="A51" s="131"/>
      <c r="H51" s="132"/>
    </row>
    <row r="52" ht="15.75" customHeight="1">
      <c r="A52" s="102"/>
      <c r="B52" s="103"/>
      <c r="C52" s="103"/>
      <c r="D52" s="103"/>
      <c r="E52" s="103"/>
      <c r="F52" s="103"/>
      <c r="G52" s="103"/>
      <c r="H52" s="104"/>
    </row>
    <row r="53" ht="15.75" customHeight="1">
      <c r="A53" s="114" t="s">
        <v>322</v>
      </c>
      <c r="B53" s="24"/>
      <c r="C53" s="24"/>
      <c r="D53" s="24"/>
      <c r="E53" s="24"/>
      <c r="F53" s="24"/>
      <c r="G53" s="24"/>
      <c r="H53" s="29"/>
    </row>
    <row r="54" ht="15.75" customHeight="1">
      <c r="A54" s="130"/>
      <c r="B54" s="100"/>
      <c r="C54" s="100"/>
      <c r="D54" s="100"/>
      <c r="E54" s="100"/>
      <c r="F54" s="100"/>
      <c r="G54" s="100"/>
      <c r="H54" s="101"/>
    </row>
    <row r="55" ht="15.75" customHeight="1">
      <c r="A55" s="131"/>
      <c r="H55" s="132"/>
    </row>
    <row r="56" ht="15.75" customHeight="1">
      <c r="A56" s="131"/>
      <c r="H56" s="132"/>
    </row>
    <row r="57" ht="15.75" customHeight="1">
      <c r="A57" s="102"/>
      <c r="B57" s="103"/>
      <c r="C57" s="103"/>
      <c r="D57" s="103"/>
      <c r="E57" s="103"/>
      <c r="F57" s="103"/>
      <c r="G57" s="103"/>
      <c r="H57" s="104"/>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0">
    <mergeCell ref="B2:H2"/>
    <mergeCell ref="C4:G4"/>
    <mergeCell ref="C5:G5"/>
    <mergeCell ref="C6:G6"/>
    <mergeCell ref="A9:D9"/>
    <mergeCell ref="B11:H11"/>
    <mergeCell ref="B12:H12"/>
    <mergeCell ref="B13:H13"/>
    <mergeCell ref="A15:H15"/>
    <mergeCell ref="A16:H18"/>
    <mergeCell ref="A19:H19"/>
    <mergeCell ref="A20:H23"/>
    <mergeCell ref="A26:D26"/>
    <mergeCell ref="B28:H28"/>
    <mergeCell ref="B29:H29"/>
    <mergeCell ref="B30:H30"/>
    <mergeCell ref="B31:H31"/>
    <mergeCell ref="A32:H32"/>
    <mergeCell ref="A33:H35"/>
    <mergeCell ref="A36:H36"/>
    <mergeCell ref="A37:H40"/>
    <mergeCell ref="A53:H53"/>
    <mergeCell ref="A54:H57"/>
    <mergeCell ref="A43:D43"/>
    <mergeCell ref="B45:H45"/>
    <mergeCell ref="B46:H46"/>
    <mergeCell ref="B47:H47"/>
    <mergeCell ref="B48:H48"/>
    <mergeCell ref="A49:H49"/>
    <mergeCell ref="A50:H52"/>
  </mergeCells>
  <dataValidations>
    <dataValidation type="list" allowBlank="1" showErrorMessage="1" sqref="B45:B47">
      <formula1>Metadata!$I$17:$I$40</formula1>
    </dataValidation>
    <dataValidation type="list" allowBlank="1" showErrorMessage="1" sqref="B11:B13 B28:B30">
      <formula1>Metadata!$B$2:$B$12</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41" t="s">
        <v>325</v>
      </c>
    </row>
    <row r="3" ht="15.75" customHeight="1"/>
    <row r="4" ht="15.75" customHeight="1">
      <c r="B4" s="18" t="s">
        <v>1</v>
      </c>
      <c r="C4" s="28" t="str">
        <f>'Diseño'!C4</f>
        <v>796 - Lenguajes Formales y de Programación</v>
      </c>
      <c r="D4" s="24"/>
      <c r="E4" s="24"/>
      <c r="F4" s="24"/>
      <c r="G4" s="29"/>
    </row>
    <row r="5" ht="15.75" customHeight="1">
      <c r="B5" s="89" t="s">
        <v>27</v>
      </c>
      <c r="C5" s="28">
        <f>H9+H26+H43+H60+H77+H94+H111</f>
        <v>0</v>
      </c>
      <c r="D5" s="24"/>
      <c r="E5" s="24"/>
      <c r="F5" s="24"/>
      <c r="G5" s="29"/>
    </row>
    <row r="6" ht="15.75" customHeight="1">
      <c r="B6" s="89" t="s">
        <v>229</v>
      </c>
      <c r="C6" s="28">
        <f>F9+F26+F43+F60+F77+F94+F111</f>
        <v>20</v>
      </c>
      <c r="D6" s="24"/>
      <c r="E6" s="24"/>
      <c r="F6" s="24"/>
      <c r="G6" s="29"/>
    </row>
    <row r="7" ht="15.75" customHeight="1">
      <c r="B7" s="19" t="s">
        <v>331</v>
      </c>
    </row>
    <row r="8" ht="15.75" customHeight="1"/>
    <row r="9" ht="15.75" customHeight="1">
      <c r="A9" s="112" t="s">
        <v>333</v>
      </c>
      <c r="E9" s="84" t="s">
        <v>229</v>
      </c>
      <c r="F9" s="113">
        <v>20.0</v>
      </c>
      <c r="G9" s="84" t="s">
        <v>313</v>
      </c>
      <c r="H9" s="125"/>
    </row>
    <row r="10" ht="15.75" customHeight="1">
      <c r="A10" s="19" t="s">
        <v>334</v>
      </c>
    </row>
    <row r="11" ht="15.75" customHeight="1">
      <c r="A11" s="119" t="s">
        <v>244</v>
      </c>
      <c r="B11" s="28"/>
      <c r="C11" s="24"/>
      <c r="D11" s="24"/>
      <c r="E11" s="24"/>
      <c r="F11" s="24"/>
      <c r="G11" s="24"/>
      <c r="H11" s="29"/>
      <c r="J11" s="147" t="s">
        <v>338</v>
      </c>
      <c r="K11" s="109"/>
      <c r="L11" s="109"/>
      <c r="M11" s="109"/>
      <c r="N11" s="109"/>
    </row>
    <row r="12" ht="15.75" customHeight="1">
      <c r="A12" s="119" t="s">
        <v>244</v>
      </c>
      <c r="B12" s="28"/>
      <c r="C12" s="24"/>
      <c r="D12" s="24"/>
      <c r="E12" s="24"/>
      <c r="F12" s="24"/>
      <c r="G12" s="24"/>
      <c r="H12" s="29"/>
    </row>
    <row r="13" ht="15.75" customHeight="1">
      <c r="A13" s="119" t="s">
        <v>244</v>
      </c>
      <c r="B13" s="28"/>
      <c r="C13" s="24"/>
      <c r="D13" s="24"/>
      <c r="E13" s="24"/>
      <c r="F13" s="24"/>
      <c r="G13" s="24"/>
      <c r="H13" s="29"/>
    </row>
    <row r="14" ht="15.75" customHeight="1">
      <c r="A14" s="119" t="s">
        <v>318</v>
      </c>
      <c r="B14" s="28"/>
      <c r="C14" s="24"/>
      <c r="D14" s="24"/>
      <c r="E14" s="24"/>
      <c r="F14" s="24"/>
      <c r="G14" s="24"/>
      <c r="H14" s="29"/>
    </row>
    <row r="15" ht="15.75" customHeight="1">
      <c r="A15" s="114" t="s">
        <v>320</v>
      </c>
      <c r="B15" s="24"/>
      <c r="C15" s="24"/>
      <c r="D15" s="24"/>
      <c r="E15" s="24"/>
      <c r="F15" s="24"/>
      <c r="G15" s="24"/>
      <c r="H15" s="29"/>
    </row>
    <row r="16" ht="15.75" customHeight="1">
      <c r="A16" s="130"/>
      <c r="B16" s="100"/>
      <c r="C16" s="100"/>
      <c r="D16" s="100"/>
      <c r="E16" s="100"/>
      <c r="F16" s="100"/>
      <c r="G16" s="100"/>
      <c r="H16" s="101"/>
    </row>
    <row r="17" ht="15.75" customHeight="1">
      <c r="A17" s="131"/>
      <c r="H17" s="132"/>
    </row>
    <row r="18" ht="15.75" customHeight="1">
      <c r="A18" s="102"/>
      <c r="B18" s="103"/>
      <c r="C18" s="103"/>
      <c r="D18" s="103"/>
      <c r="E18" s="103"/>
      <c r="F18" s="103"/>
      <c r="G18" s="103"/>
      <c r="H18" s="104"/>
    </row>
    <row r="19" ht="15.75" customHeight="1">
      <c r="A19" s="114" t="s">
        <v>322</v>
      </c>
      <c r="B19" s="24"/>
      <c r="C19" s="24"/>
      <c r="D19" s="24"/>
      <c r="E19" s="24"/>
      <c r="F19" s="24"/>
      <c r="G19" s="24"/>
      <c r="H19" s="29"/>
    </row>
    <row r="20" ht="15.75" customHeight="1">
      <c r="A20" s="130"/>
      <c r="B20" s="100"/>
      <c r="C20" s="100"/>
      <c r="D20" s="100"/>
      <c r="E20" s="100"/>
      <c r="F20" s="100"/>
      <c r="G20" s="100"/>
      <c r="H20" s="101"/>
    </row>
    <row r="21" ht="15.75" customHeight="1">
      <c r="A21" s="131"/>
      <c r="H21" s="132"/>
    </row>
    <row r="22" ht="15.75" customHeight="1">
      <c r="A22" s="131"/>
      <c r="H22" s="132"/>
    </row>
    <row r="23" ht="15.75" customHeight="1">
      <c r="A23" s="102"/>
      <c r="B23" s="103"/>
      <c r="C23" s="103"/>
      <c r="D23" s="103"/>
      <c r="E23" s="103"/>
      <c r="F23" s="103"/>
      <c r="G23" s="103"/>
      <c r="H23" s="104"/>
    </row>
    <row r="24" ht="15.75" customHeight="1"/>
    <row r="25" ht="15.75" customHeight="1"/>
    <row r="26" ht="15.75" customHeight="1">
      <c r="A26" s="112" t="s">
        <v>339</v>
      </c>
      <c r="E26" s="84" t="s">
        <v>229</v>
      </c>
      <c r="F26" s="125"/>
      <c r="G26" s="84" t="s">
        <v>313</v>
      </c>
      <c r="H26" s="125"/>
    </row>
    <row r="27" ht="15.75" customHeight="1">
      <c r="A27" s="129" t="s">
        <v>336</v>
      </c>
    </row>
    <row r="28" ht="15.75" customHeight="1">
      <c r="A28" s="119" t="s">
        <v>244</v>
      </c>
      <c r="B28" s="28"/>
      <c r="C28" s="24"/>
      <c r="D28" s="24"/>
      <c r="E28" s="24"/>
      <c r="F28" s="24"/>
      <c r="G28" s="24"/>
      <c r="H28" s="29"/>
    </row>
    <row r="29" ht="15.75" customHeight="1">
      <c r="A29" s="119" t="s">
        <v>244</v>
      </c>
      <c r="B29" s="28"/>
      <c r="C29" s="24"/>
      <c r="D29" s="24"/>
      <c r="E29" s="24"/>
      <c r="F29" s="24"/>
      <c r="G29" s="24"/>
      <c r="H29" s="29"/>
    </row>
    <row r="30" ht="15.75" customHeight="1">
      <c r="A30" s="119" t="s">
        <v>244</v>
      </c>
      <c r="B30" s="28"/>
      <c r="C30" s="24"/>
      <c r="D30" s="24"/>
      <c r="E30" s="24"/>
      <c r="F30" s="24"/>
      <c r="G30" s="24"/>
      <c r="H30" s="29"/>
    </row>
    <row r="31" ht="15.75" customHeight="1">
      <c r="A31" s="119" t="s">
        <v>318</v>
      </c>
      <c r="B31" s="28"/>
      <c r="C31" s="24"/>
      <c r="D31" s="24"/>
      <c r="E31" s="24"/>
      <c r="F31" s="24"/>
      <c r="G31" s="24"/>
      <c r="H31" s="29"/>
    </row>
    <row r="32" ht="15.75" customHeight="1">
      <c r="A32" s="114" t="s">
        <v>320</v>
      </c>
      <c r="B32" s="24"/>
      <c r="C32" s="24"/>
      <c r="D32" s="24"/>
      <c r="E32" s="24"/>
      <c r="F32" s="24"/>
      <c r="G32" s="24"/>
      <c r="H32" s="29"/>
    </row>
    <row r="33" ht="15.75" customHeight="1">
      <c r="A33" s="130"/>
      <c r="B33" s="100"/>
      <c r="C33" s="100"/>
      <c r="D33" s="100"/>
      <c r="E33" s="100"/>
      <c r="F33" s="100"/>
      <c r="G33" s="100"/>
      <c r="H33" s="101"/>
    </row>
    <row r="34" ht="15.75" customHeight="1">
      <c r="A34" s="131"/>
      <c r="H34" s="132"/>
    </row>
    <row r="35" ht="15.75" customHeight="1">
      <c r="A35" s="102"/>
      <c r="B35" s="103"/>
      <c r="C35" s="103"/>
      <c r="D35" s="103"/>
      <c r="E35" s="103"/>
      <c r="F35" s="103"/>
      <c r="G35" s="103"/>
      <c r="H35" s="104"/>
    </row>
    <row r="36" ht="15.75" customHeight="1">
      <c r="A36" s="114" t="s">
        <v>322</v>
      </c>
      <c r="B36" s="24"/>
      <c r="C36" s="24"/>
      <c r="D36" s="24"/>
      <c r="E36" s="24"/>
      <c r="F36" s="24"/>
      <c r="G36" s="24"/>
      <c r="H36" s="29"/>
    </row>
    <row r="37" ht="15.75" customHeight="1">
      <c r="A37" s="130"/>
      <c r="B37" s="100"/>
      <c r="C37" s="100"/>
      <c r="D37" s="100"/>
      <c r="E37" s="100"/>
      <c r="F37" s="100"/>
      <c r="G37" s="100"/>
      <c r="H37" s="101"/>
    </row>
    <row r="38" ht="15.75" customHeight="1">
      <c r="A38" s="131"/>
      <c r="H38" s="132"/>
    </row>
    <row r="39" ht="15.75" customHeight="1">
      <c r="A39" s="131"/>
      <c r="H39" s="132"/>
    </row>
    <row r="40" ht="15.75" customHeight="1">
      <c r="A40" s="102"/>
      <c r="B40" s="103"/>
      <c r="C40" s="103"/>
      <c r="D40" s="103"/>
      <c r="E40" s="103"/>
      <c r="F40" s="103"/>
      <c r="G40" s="103"/>
      <c r="H40" s="104"/>
    </row>
    <row r="41" ht="15.75" customHeight="1"/>
    <row r="42" ht="15.75" customHeight="1"/>
    <row r="43" ht="15.75" customHeight="1">
      <c r="A43" s="112" t="s">
        <v>340</v>
      </c>
      <c r="E43" s="84" t="s">
        <v>229</v>
      </c>
      <c r="F43" s="125"/>
      <c r="G43" s="84" t="s">
        <v>313</v>
      </c>
      <c r="H43" s="125"/>
    </row>
    <row r="44" ht="15.75" customHeight="1">
      <c r="A44" s="129" t="s">
        <v>336</v>
      </c>
    </row>
    <row r="45" ht="15.75" customHeight="1">
      <c r="A45" s="119" t="s">
        <v>244</v>
      </c>
      <c r="B45" s="28"/>
      <c r="C45" s="24"/>
      <c r="D45" s="24"/>
      <c r="E45" s="24"/>
      <c r="F45" s="24"/>
      <c r="G45" s="24"/>
      <c r="H45" s="29"/>
    </row>
    <row r="46" ht="15.75" customHeight="1">
      <c r="A46" s="119" t="s">
        <v>244</v>
      </c>
      <c r="B46" s="28"/>
      <c r="C46" s="24"/>
      <c r="D46" s="24"/>
      <c r="E46" s="24"/>
      <c r="F46" s="24"/>
      <c r="G46" s="24"/>
      <c r="H46" s="29"/>
    </row>
    <row r="47" ht="15.75" customHeight="1">
      <c r="A47" s="119" t="s">
        <v>244</v>
      </c>
      <c r="B47" s="28"/>
      <c r="C47" s="24"/>
      <c r="D47" s="24"/>
      <c r="E47" s="24"/>
      <c r="F47" s="24"/>
      <c r="G47" s="24"/>
      <c r="H47" s="29"/>
    </row>
    <row r="48" ht="15.75" customHeight="1">
      <c r="A48" s="119" t="s">
        <v>318</v>
      </c>
      <c r="B48" s="28"/>
      <c r="C48" s="24"/>
      <c r="D48" s="24"/>
      <c r="E48" s="24"/>
      <c r="F48" s="24"/>
      <c r="G48" s="24"/>
      <c r="H48" s="29"/>
    </row>
    <row r="49" ht="15.75" customHeight="1">
      <c r="A49" s="114" t="s">
        <v>320</v>
      </c>
      <c r="B49" s="24"/>
      <c r="C49" s="24"/>
      <c r="D49" s="24"/>
      <c r="E49" s="24"/>
      <c r="F49" s="24"/>
      <c r="G49" s="24"/>
      <c r="H49" s="29"/>
    </row>
    <row r="50" ht="15.75" customHeight="1">
      <c r="A50" s="130"/>
      <c r="B50" s="100"/>
      <c r="C50" s="100"/>
      <c r="D50" s="100"/>
      <c r="E50" s="100"/>
      <c r="F50" s="100"/>
      <c r="G50" s="100"/>
      <c r="H50" s="101"/>
    </row>
    <row r="51" ht="15.75" customHeight="1">
      <c r="A51" s="131"/>
      <c r="H51" s="132"/>
    </row>
    <row r="52" ht="15.75" customHeight="1">
      <c r="A52" s="102"/>
      <c r="B52" s="103"/>
      <c r="C52" s="103"/>
      <c r="D52" s="103"/>
      <c r="E52" s="103"/>
      <c r="F52" s="103"/>
      <c r="G52" s="103"/>
      <c r="H52" s="104"/>
    </row>
    <row r="53" ht="15.75" customHeight="1">
      <c r="A53" s="114" t="s">
        <v>322</v>
      </c>
      <c r="B53" s="24"/>
      <c r="C53" s="24"/>
      <c r="D53" s="24"/>
      <c r="E53" s="24"/>
      <c r="F53" s="24"/>
      <c r="G53" s="24"/>
      <c r="H53" s="29"/>
    </row>
    <row r="54" ht="15.75" customHeight="1">
      <c r="A54" s="130"/>
      <c r="B54" s="100"/>
      <c r="C54" s="100"/>
      <c r="D54" s="100"/>
      <c r="E54" s="100"/>
      <c r="F54" s="100"/>
      <c r="G54" s="100"/>
      <c r="H54" s="101"/>
    </row>
    <row r="55" ht="15.75" customHeight="1">
      <c r="A55" s="131"/>
      <c r="H55" s="132"/>
    </row>
    <row r="56" ht="15.75" customHeight="1">
      <c r="A56" s="131"/>
      <c r="H56" s="132"/>
    </row>
    <row r="57" ht="15.75" customHeight="1">
      <c r="A57" s="102"/>
      <c r="B57" s="103"/>
      <c r="C57" s="103"/>
      <c r="D57" s="103"/>
      <c r="E57" s="103"/>
      <c r="F57" s="103"/>
      <c r="G57" s="103"/>
      <c r="H57" s="104"/>
    </row>
    <row r="58" ht="15.75" customHeight="1"/>
    <row r="59" ht="15.75" customHeight="1"/>
    <row r="60" ht="15.75" customHeight="1">
      <c r="A60" s="112" t="s">
        <v>341</v>
      </c>
      <c r="E60" s="84" t="s">
        <v>229</v>
      </c>
      <c r="F60" s="125"/>
      <c r="G60" s="84" t="s">
        <v>313</v>
      </c>
      <c r="H60" s="125"/>
    </row>
    <row r="61" ht="15.75" customHeight="1">
      <c r="A61" s="129" t="s">
        <v>336</v>
      </c>
    </row>
    <row r="62" ht="15.75" customHeight="1">
      <c r="A62" s="119" t="s">
        <v>244</v>
      </c>
      <c r="B62" s="28"/>
      <c r="C62" s="24"/>
      <c r="D62" s="24"/>
      <c r="E62" s="24"/>
      <c r="F62" s="24"/>
      <c r="G62" s="24"/>
      <c r="H62" s="29"/>
    </row>
    <row r="63" ht="15.75" customHeight="1">
      <c r="A63" s="119" t="s">
        <v>244</v>
      </c>
      <c r="B63" s="28"/>
      <c r="C63" s="24"/>
      <c r="D63" s="24"/>
      <c r="E63" s="24"/>
      <c r="F63" s="24"/>
      <c r="G63" s="24"/>
      <c r="H63" s="29"/>
    </row>
    <row r="64" ht="15.75" customHeight="1">
      <c r="A64" s="119" t="s">
        <v>244</v>
      </c>
      <c r="B64" s="28"/>
      <c r="C64" s="24"/>
      <c r="D64" s="24"/>
      <c r="E64" s="24"/>
      <c r="F64" s="24"/>
      <c r="G64" s="24"/>
      <c r="H64" s="29"/>
    </row>
    <row r="65" ht="15.75" customHeight="1">
      <c r="A65" s="119" t="s">
        <v>318</v>
      </c>
      <c r="B65" s="28"/>
      <c r="C65" s="24"/>
      <c r="D65" s="24"/>
      <c r="E65" s="24"/>
      <c r="F65" s="24"/>
      <c r="G65" s="24"/>
      <c r="H65" s="29"/>
    </row>
    <row r="66" ht="15.75" customHeight="1">
      <c r="A66" s="114" t="s">
        <v>320</v>
      </c>
      <c r="B66" s="24"/>
      <c r="C66" s="24"/>
      <c r="D66" s="24"/>
      <c r="E66" s="24"/>
      <c r="F66" s="24"/>
      <c r="G66" s="24"/>
      <c r="H66" s="29"/>
    </row>
    <row r="67" ht="15.75" customHeight="1">
      <c r="A67" s="130"/>
      <c r="B67" s="100"/>
      <c r="C67" s="100"/>
      <c r="D67" s="100"/>
      <c r="E67" s="100"/>
      <c r="F67" s="100"/>
      <c r="G67" s="100"/>
      <c r="H67" s="101"/>
    </row>
    <row r="68" ht="15.75" customHeight="1">
      <c r="A68" s="131"/>
      <c r="H68" s="132"/>
    </row>
    <row r="69" ht="15.75" customHeight="1">
      <c r="A69" s="102"/>
      <c r="B69" s="103"/>
      <c r="C69" s="103"/>
      <c r="D69" s="103"/>
      <c r="E69" s="103"/>
      <c r="F69" s="103"/>
      <c r="G69" s="103"/>
      <c r="H69" s="104"/>
    </row>
    <row r="70" ht="15.75" customHeight="1">
      <c r="A70" s="114" t="s">
        <v>322</v>
      </c>
      <c r="B70" s="24"/>
      <c r="C70" s="24"/>
      <c r="D70" s="24"/>
      <c r="E70" s="24"/>
      <c r="F70" s="24"/>
      <c r="G70" s="24"/>
      <c r="H70" s="29"/>
    </row>
    <row r="71" ht="15.75" customHeight="1">
      <c r="A71" s="130"/>
      <c r="B71" s="100"/>
      <c r="C71" s="100"/>
      <c r="D71" s="100"/>
      <c r="E71" s="100"/>
      <c r="F71" s="100"/>
      <c r="G71" s="100"/>
      <c r="H71" s="101"/>
    </row>
    <row r="72" ht="15.75" customHeight="1">
      <c r="A72" s="131"/>
      <c r="H72" s="132"/>
    </row>
    <row r="73" ht="15.75" customHeight="1">
      <c r="A73" s="131"/>
      <c r="H73" s="132"/>
    </row>
    <row r="74" ht="15.75" customHeight="1">
      <c r="A74" s="102"/>
      <c r="B74" s="103"/>
      <c r="C74" s="103"/>
      <c r="D74" s="103"/>
      <c r="E74" s="103"/>
      <c r="F74" s="103"/>
      <c r="G74" s="103"/>
      <c r="H74" s="104"/>
    </row>
    <row r="75" ht="15.75" customHeight="1"/>
    <row r="76" ht="15.75" customHeight="1"/>
    <row r="77" ht="15.75" customHeight="1">
      <c r="A77" s="112" t="s">
        <v>342</v>
      </c>
      <c r="E77" s="84" t="s">
        <v>229</v>
      </c>
      <c r="F77" s="125"/>
      <c r="G77" s="84" t="s">
        <v>313</v>
      </c>
      <c r="H77" s="125"/>
    </row>
    <row r="78" ht="15.75" customHeight="1">
      <c r="A78" s="129" t="s">
        <v>336</v>
      </c>
    </row>
    <row r="79" ht="15.75" customHeight="1">
      <c r="A79" s="119" t="s">
        <v>244</v>
      </c>
      <c r="B79" s="28"/>
      <c r="C79" s="24"/>
      <c r="D79" s="24"/>
      <c r="E79" s="24"/>
      <c r="F79" s="24"/>
      <c r="G79" s="24"/>
      <c r="H79" s="29"/>
    </row>
    <row r="80" ht="15.75" customHeight="1">
      <c r="A80" s="119" t="s">
        <v>244</v>
      </c>
      <c r="B80" s="28"/>
      <c r="C80" s="24"/>
      <c r="D80" s="24"/>
      <c r="E80" s="24"/>
      <c r="F80" s="24"/>
      <c r="G80" s="24"/>
      <c r="H80" s="29"/>
    </row>
    <row r="81" ht="15.75" customHeight="1">
      <c r="A81" s="119" t="s">
        <v>244</v>
      </c>
      <c r="B81" s="28"/>
      <c r="C81" s="24"/>
      <c r="D81" s="24"/>
      <c r="E81" s="24"/>
      <c r="F81" s="24"/>
      <c r="G81" s="24"/>
      <c r="H81" s="29"/>
    </row>
    <row r="82" ht="15.75" customHeight="1">
      <c r="A82" s="119" t="s">
        <v>318</v>
      </c>
      <c r="B82" s="28"/>
      <c r="C82" s="24"/>
      <c r="D82" s="24"/>
      <c r="E82" s="24"/>
      <c r="F82" s="24"/>
      <c r="G82" s="24"/>
      <c r="H82" s="29"/>
    </row>
    <row r="83" ht="15.75" customHeight="1">
      <c r="A83" s="114" t="s">
        <v>320</v>
      </c>
      <c r="B83" s="24"/>
      <c r="C83" s="24"/>
      <c r="D83" s="24"/>
      <c r="E83" s="24"/>
      <c r="F83" s="24"/>
      <c r="G83" s="24"/>
      <c r="H83" s="29"/>
    </row>
    <row r="84" ht="15.75" customHeight="1">
      <c r="A84" s="130"/>
      <c r="B84" s="100"/>
      <c r="C84" s="100"/>
      <c r="D84" s="100"/>
      <c r="E84" s="100"/>
      <c r="F84" s="100"/>
      <c r="G84" s="100"/>
      <c r="H84" s="101"/>
    </row>
    <row r="85" ht="15.75" customHeight="1">
      <c r="A85" s="131"/>
      <c r="H85" s="132"/>
    </row>
    <row r="86" ht="15.75" customHeight="1">
      <c r="A86" s="102"/>
      <c r="B86" s="103"/>
      <c r="C86" s="103"/>
      <c r="D86" s="103"/>
      <c r="E86" s="103"/>
      <c r="F86" s="103"/>
      <c r="G86" s="103"/>
      <c r="H86" s="104"/>
    </row>
    <row r="87" ht="15.75" customHeight="1">
      <c r="A87" s="114" t="s">
        <v>322</v>
      </c>
      <c r="B87" s="24"/>
      <c r="C87" s="24"/>
      <c r="D87" s="24"/>
      <c r="E87" s="24"/>
      <c r="F87" s="24"/>
      <c r="G87" s="24"/>
      <c r="H87" s="29"/>
    </row>
    <row r="88" ht="15.75" customHeight="1">
      <c r="A88" s="130"/>
      <c r="B88" s="100"/>
      <c r="C88" s="100"/>
      <c r="D88" s="100"/>
      <c r="E88" s="100"/>
      <c r="F88" s="100"/>
      <c r="G88" s="100"/>
      <c r="H88" s="101"/>
    </row>
    <row r="89" ht="15.75" customHeight="1">
      <c r="A89" s="131"/>
      <c r="H89" s="132"/>
    </row>
    <row r="90" ht="15.75" customHeight="1">
      <c r="A90" s="131"/>
      <c r="H90" s="132"/>
    </row>
    <row r="91" ht="15.75" customHeight="1">
      <c r="A91" s="102"/>
      <c r="B91" s="103"/>
      <c r="C91" s="103"/>
      <c r="D91" s="103"/>
      <c r="E91" s="103"/>
      <c r="F91" s="103"/>
      <c r="G91" s="103"/>
      <c r="H91" s="104"/>
    </row>
    <row r="92" ht="15.75" customHeight="1"/>
    <row r="93" ht="15.75" customHeight="1"/>
    <row r="94" ht="15.75" customHeight="1">
      <c r="A94" s="112" t="s">
        <v>343</v>
      </c>
      <c r="E94" s="84" t="s">
        <v>229</v>
      </c>
      <c r="F94" s="125"/>
      <c r="G94" s="84" t="s">
        <v>313</v>
      </c>
      <c r="H94" s="125"/>
    </row>
    <row r="95" ht="15.75" customHeight="1">
      <c r="A95" s="129" t="s">
        <v>336</v>
      </c>
    </row>
    <row r="96" ht="15.75" customHeight="1">
      <c r="A96" s="119" t="s">
        <v>244</v>
      </c>
      <c r="B96" s="28"/>
      <c r="C96" s="24"/>
      <c r="D96" s="24"/>
      <c r="E96" s="24"/>
      <c r="F96" s="24"/>
      <c r="G96" s="24"/>
      <c r="H96" s="29"/>
    </row>
    <row r="97" ht="15.75" customHeight="1">
      <c r="A97" s="119" t="s">
        <v>244</v>
      </c>
      <c r="B97" s="28"/>
      <c r="C97" s="24"/>
      <c r="D97" s="24"/>
      <c r="E97" s="24"/>
      <c r="F97" s="24"/>
      <c r="G97" s="24"/>
      <c r="H97" s="29"/>
    </row>
    <row r="98" ht="15.75" customHeight="1">
      <c r="A98" s="119" t="s">
        <v>244</v>
      </c>
      <c r="B98" s="28"/>
      <c r="C98" s="24"/>
      <c r="D98" s="24"/>
      <c r="E98" s="24"/>
      <c r="F98" s="24"/>
      <c r="G98" s="24"/>
      <c r="H98" s="29"/>
    </row>
    <row r="99" ht="15.75" customHeight="1">
      <c r="A99" s="119" t="s">
        <v>318</v>
      </c>
      <c r="B99" s="28"/>
      <c r="C99" s="24"/>
      <c r="D99" s="24"/>
      <c r="E99" s="24"/>
      <c r="F99" s="24"/>
      <c r="G99" s="24"/>
      <c r="H99" s="29"/>
    </row>
    <row r="100" ht="15.75" customHeight="1">
      <c r="A100" s="114" t="s">
        <v>320</v>
      </c>
      <c r="B100" s="24"/>
      <c r="C100" s="24"/>
      <c r="D100" s="24"/>
      <c r="E100" s="24"/>
      <c r="F100" s="24"/>
      <c r="G100" s="24"/>
      <c r="H100" s="29"/>
    </row>
    <row r="101" ht="15.75" customHeight="1">
      <c r="A101" s="130"/>
      <c r="B101" s="100"/>
      <c r="C101" s="100"/>
      <c r="D101" s="100"/>
      <c r="E101" s="100"/>
      <c r="F101" s="100"/>
      <c r="G101" s="100"/>
      <c r="H101" s="101"/>
    </row>
    <row r="102" ht="15.75" customHeight="1">
      <c r="A102" s="131"/>
      <c r="H102" s="132"/>
    </row>
    <row r="103" ht="15.75" customHeight="1">
      <c r="A103" s="102"/>
      <c r="B103" s="103"/>
      <c r="C103" s="103"/>
      <c r="D103" s="103"/>
      <c r="E103" s="103"/>
      <c r="F103" s="103"/>
      <c r="G103" s="103"/>
      <c r="H103" s="104"/>
    </row>
    <row r="104" ht="15.75" customHeight="1">
      <c r="A104" s="114" t="s">
        <v>322</v>
      </c>
      <c r="B104" s="24"/>
      <c r="C104" s="24"/>
      <c r="D104" s="24"/>
      <c r="E104" s="24"/>
      <c r="F104" s="24"/>
      <c r="G104" s="24"/>
      <c r="H104" s="29"/>
    </row>
    <row r="105" ht="15.75" customHeight="1">
      <c r="A105" s="130"/>
      <c r="B105" s="100"/>
      <c r="C105" s="100"/>
      <c r="D105" s="100"/>
      <c r="E105" s="100"/>
      <c r="F105" s="100"/>
      <c r="G105" s="100"/>
      <c r="H105" s="101"/>
    </row>
    <row r="106" ht="15.75" customHeight="1">
      <c r="A106" s="131"/>
      <c r="H106" s="132"/>
    </row>
    <row r="107" ht="15.75" customHeight="1">
      <c r="A107" s="131"/>
      <c r="H107" s="132"/>
    </row>
    <row r="108" ht="15.75" customHeight="1">
      <c r="A108" s="102"/>
      <c r="B108" s="103"/>
      <c r="C108" s="103"/>
      <c r="D108" s="103"/>
      <c r="E108" s="103"/>
      <c r="F108" s="103"/>
      <c r="G108" s="103"/>
      <c r="H108" s="104"/>
    </row>
    <row r="109" ht="15.75" customHeight="1"/>
    <row r="110" ht="15.75" customHeight="1"/>
    <row r="111" ht="15.75" customHeight="1">
      <c r="A111" s="112" t="s">
        <v>344</v>
      </c>
      <c r="E111" s="84" t="s">
        <v>229</v>
      </c>
      <c r="F111" s="125"/>
      <c r="G111" s="84" t="s">
        <v>313</v>
      </c>
      <c r="H111" s="125"/>
    </row>
    <row r="112" ht="15.75" customHeight="1">
      <c r="A112" s="129" t="s">
        <v>336</v>
      </c>
    </row>
    <row r="113" ht="15.75" customHeight="1">
      <c r="A113" s="119" t="s">
        <v>244</v>
      </c>
      <c r="B113" s="28"/>
      <c r="C113" s="24"/>
      <c r="D113" s="24"/>
      <c r="E113" s="24"/>
      <c r="F113" s="24"/>
      <c r="G113" s="24"/>
      <c r="H113" s="29"/>
    </row>
    <row r="114" ht="15.75" customHeight="1">
      <c r="A114" s="119" t="s">
        <v>244</v>
      </c>
      <c r="B114" s="28"/>
      <c r="C114" s="24"/>
      <c r="D114" s="24"/>
      <c r="E114" s="24"/>
      <c r="F114" s="24"/>
      <c r="G114" s="24"/>
      <c r="H114" s="29"/>
    </row>
    <row r="115" ht="15.75" customHeight="1">
      <c r="A115" s="119" t="s">
        <v>244</v>
      </c>
      <c r="B115" s="28"/>
      <c r="C115" s="24"/>
      <c r="D115" s="24"/>
      <c r="E115" s="24"/>
      <c r="F115" s="24"/>
      <c r="G115" s="24"/>
      <c r="H115" s="29"/>
    </row>
    <row r="116" ht="15.75" customHeight="1">
      <c r="A116" s="119" t="s">
        <v>318</v>
      </c>
      <c r="B116" s="28"/>
      <c r="C116" s="24"/>
      <c r="D116" s="24"/>
      <c r="E116" s="24"/>
      <c r="F116" s="24"/>
      <c r="G116" s="24"/>
      <c r="H116" s="29"/>
    </row>
    <row r="117" ht="15.75" customHeight="1">
      <c r="A117" s="114" t="s">
        <v>320</v>
      </c>
      <c r="B117" s="24"/>
      <c r="C117" s="24"/>
      <c r="D117" s="24"/>
      <c r="E117" s="24"/>
      <c r="F117" s="24"/>
      <c r="G117" s="24"/>
      <c r="H117" s="29"/>
    </row>
    <row r="118" ht="15.75" customHeight="1">
      <c r="A118" s="130"/>
      <c r="B118" s="100"/>
      <c r="C118" s="100"/>
      <c r="D118" s="100"/>
      <c r="E118" s="100"/>
      <c r="F118" s="100"/>
      <c r="G118" s="100"/>
      <c r="H118" s="101"/>
    </row>
    <row r="119" ht="15.75" customHeight="1">
      <c r="A119" s="131"/>
      <c r="H119" s="132"/>
    </row>
    <row r="120" ht="15.75" customHeight="1">
      <c r="A120" s="102"/>
      <c r="B120" s="103"/>
      <c r="C120" s="103"/>
      <c r="D120" s="103"/>
      <c r="E120" s="103"/>
      <c r="F120" s="103"/>
      <c r="G120" s="103"/>
      <c r="H120" s="104"/>
    </row>
    <row r="121" ht="15.75" customHeight="1">
      <c r="A121" s="114" t="s">
        <v>322</v>
      </c>
      <c r="B121" s="24"/>
      <c r="C121" s="24"/>
      <c r="D121" s="24"/>
      <c r="E121" s="24"/>
      <c r="F121" s="24"/>
      <c r="G121" s="24"/>
      <c r="H121" s="29"/>
    </row>
    <row r="122" ht="15.75" customHeight="1">
      <c r="A122" s="130"/>
      <c r="B122" s="100"/>
      <c r="C122" s="100"/>
      <c r="D122" s="100"/>
      <c r="E122" s="100"/>
      <c r="F122" s="100"/>
      <c r="G122" s="100"/>
      <c r="H122" s="101"/>
    </row>
    <row r="123" ht="15.75" customHeight="1">
      <c r="A123" s="131"/>
      <c r="H123" s="132"/>
    </row>
    <row r="124" ht="15.75" customHeight="1">
      <c r="A124" s="131"/>
      <c r="H124" s="132"/>
    </row>
    <row r="125" ht="15.75" customHeight="1">
      <c r="A125" s="102"/>
      <c r="B125" s="103"/>
      <c r="C125" s="103"/>
      <c r="D125" s="103"/>
      <c r="E125" s="103"/>
      <c r="F125" s="103"/>
      <c r="G125" s="103"/>
      <c r="H125" s="104"/>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7">
    <mergeCell ref="A94:D94"/>
    <mergeCell ref="B96:H96"/>
    <mergeCell ref="B97:H97"/>
    <mergeCell ref="B98:H98"/>
    <mergeCell ref="B99:H99"/>
    <mergeCell ref="A100:H100"/>
    <mergeCell ref="A101:H103"/>
    <mergeCell ref="A117:H117"/>
    <mergeCell ref="A118:H120"/>
    <mergeCell ref="A121:H121"/>
    <mergeCell ref="A122:H125"/>
    <mergeCell ref="A104:H104"/>
    <mergeCell ref="A105:H108"/>
    <mergeCell ref="A111:D111"/>
    <mergeCell ref="B113:H113"/>
    <mergeCell ref="B114:H114"/>
    <mergeCell ref="B115:H115"/>
    <mergeCell ref="B116:H116"/>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s>
  <dataValidations>
    <dataValidation type="list" allowBlank="1" showErrorMessage="1" sqref="B11:B13 B28:B30 B45:B47 B62:B64 B79:B81 B96:B98 B113:B115">
      <formula1>Metadata!$I$17:$I$40</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41" t="s">
        <v>42</v>
      </c>
    </row>
    <row r="3" ht="15.75" customHeight="1"/>
    <row r="4" ht="15.75" customHeight="1">
      <c r="B4" s="18" t="s">
        <v>1</v>
      </c>
      <c r="C4" s="28" t="str">
        <f>'Diseño'!C4</f>
        <v>796 - Lenguajes Formales y de Programación</v>
      </c>
      <c r="D4" s="24"/>
      <c r="E4" s="24"/>
      <c r="F4" s="24"/>
      <c r="G4" s="29"/>
    </row>
    <row r="5" ht="15.75" customHeight="1">
      <c r="B5" s="89" t="s">
        <v>27</v>
      </c>
      <c r="C5" s="28">
        <f>H9+H26+H43+H60+H77+H94+H111+H128</f>
        <v>14</v>
      </c>
      <c r="D5" s="24"/>
      <c r="E5" s="24"/>
      <c r="F5" s="24"/>
      <c r="G5" s="29"/>
    </row>
    <row r="6" ht="15.75" customHeight="1">
      <c r="B6" s="89" t="s">
        <v>229</v>
      </c>
      <c r="C6" s="28">
        <f>F9+F26+F43+F60+F77+F94+F111+F128</f>
        <v>5</v>
      </c>
      <c r="D6" s="24"/>
      <c r="E6" s="24"/>
      <c r="F6" s="24"/>
      <c r="G6" s="29"/>
    </row>
    <row r="7" ht="15.75" customHeight="1">
      <c r="B7" s="19" t="s">
        <v>345</v>
      </c>
    </row>
    <row r="8" ht="15.75" customHeight="1"/>
    <row r="9" ht="15.75" customHeight="1">
      <c r="A9" s="112" t="s">
        <v>346</v>
      </c>
      <c r="E9" s="84" t="s">
        <v>229</v>
      </c>
      <c r="F9" s="113">
        <v>1.0</v>
      </c>
      <c r="G9" s="84" t="s">
        <v>313</v>
      </c>
      <c r="H9" s="113">
        <v>2.0</v>
      </c>
    </row>
    <row r="10" ht="15.75" customHeight="1">
      <c r="A10" s="19" t="s">
        <v>347</v>
      </c>
    </row>
    <row r="11" ht="15.75" customHeight="1">
      <c r="A11" s="119" t="s">
        <v>244</v>
      </c>
      <c r="B11" s="72" t="s">
        <v>66</v>
      </c>
      <c r="C11" s="24"/>
      <c r="D11" s="24"/>
      <c r="E11" s="24"/>
      <c r="F11" s="24"/>
      <c r="G11" s="24"/>
      <c r="H11" s="29"/>
    </row>
    <row r="12" ht="15.75" customHeight="1">
      <c r="A12" s="119" t="s">
        <v>244</v>
      </c>
      <c r="B12" s="28"/>
      <c r="C12" s="24"/>
      <c r="D12" s="24"/>
      <c r="E12" s="24"/>
      <c r="F12" s="24"/>
      <c r="G12" s="24"/>
      <c r="H12" s="29"/>
    </row>
    <row r="13" ht="15.75" customHeight="1">
      <c r="A13" s="119" t="s">
        <v>244</v>
      </c>
      <c r="B13" s="28"/>
      <c r="C13" s="24"/>
      <c r="D13" s="24"/>
      <c r="E13" s="24"/>
      <c r="F13" s="24"/>
      <c r="G13" s="24"/>
      <c r="H13" s="29"/>
    </row>
    <row r="14" ht="15.75" customHeight="1">
      <c r="A14" s="119" t="s">
        <v>318</v>
      </c>
      <c r="B14" s="144" t="s">
        <v>348</v>
      </c>
      <c r="C14" s="138"/>
      <c r="D14" s="138"/>
      <c r="E14" s="138"/>
      <c r="F14" s="138"/>
      <c r="G14" s="138"/>
      <c r="H14" s="137"/>
    </row>
    <row r="15" ht="15.75" customHeight="1">
      <c r="A15" s="114" t="s">
        <v>320</v>
      </c>
      <c r="B15" s="24"/>
      <c r="C15" s="24"/>
      <c r="D15" s="24"/>
      <c r="E15" s="24"/>
      <c r="F15" s="24"/>
      <c r="G15" s="24"/>
      <c r="H15" s="29"/>
    </row>
    <row r="16" ht="15.75" customHeight="1">
      <c r="A16" s="116" t="s">
        <v>350</v>
      </c>
      <c r="B16" s="100"/>
      <c r="C16" s="100"/>
      <c r="D16" s="100"/>
      <c r="E16" s="100"/>
      <c r="F16" s="100"/>
      <c r="G16" s="100"/>
      <c r="H16" s="101"/>
    </row>
    <row r="17" ht="15.75" customHeight="1">
      <c r="A17" s="131"/>
      <c r="H17" s="132"/>
    </row>
    <row r="18" ht="15.75" customHeight="1">
      <c r="A18" s="102"/>
      <c r="B18" s="103"/>
      <c r="C18" s="103"/>
      <c r="D18" s="103"/>
      <c r="E18" s="103"/>
      <c r="F18" s="103"/>
      <c r="G18" s="103"/>
      <c r="H18" s="104"/>
    </row>
    <row r="19" ht="15.75" customHeight="1">
      <c r="A19" s="114" t="s">
        <v>353</v>
      </c>
      <c r="B19" s="24"/>
      <c r="C19" s="24"/>
      <c r="D19" s="24"/>
      <c r="E19" s="24"/>
      <c r="F19" s="24"/>
      <c r="G19" s="24"/>
      <c r="H19" s="29"/>
    </row>
    <row r="20" ht="15.75" customHeight="1">
      <c r="A20" s="148" t="s">
        <v>355</v>
      </c>
      <c r="B20" s="100"/>
      <c r="C20" s="100"/>
      <c r="D20" s="100"/>
      <c r="E20" s="100"/>
      <c r="F20" s="100"/>
      <c r="G20" s="100"/>
      <c r="H20" s="101"/>
    </row>
    <row r="21" ht="15.75" customHeight="1">
      <c r="A21" s="131"/>
      <c r="H21" s="132"/>
    </row>
    <row r="22" ht="15.75" customHeight="1">
      <c r="A22" s="131"/>
      <c r="H22" s="132"/>
    </row>
    <row r="23" ht="15.75" customHeight="1">
      <c r="A23" s="102"/>
      <c r="B23" s="103"/>
      <c r="C23" s="103"/>
      <c r="D23" s="103"/>
      <c r="E23" s="103"/>
      <c r="F23" s="103"/>
      <c r="G23" s="103"/>
      <c r="H23" s="104"/>
    </row>
    <row r="24" ht="15.75" customHeight="1">
      <c r="A24" s="112"/>
      <c r="B24" s="112"/>
      <c r="C24" s="112"/>
      <c r="D24" s="112"/>
      <c r="E24" s="84"/>
      <c r="F24" s="149"/>
      <c r="G24" s="84"/>
      <c r="H24" s="149"/>
    </row>
    <row r="25" ht="15.75" customHeight="1">
      <c r="A25" s="112"/>
      <c r="B25" s="112"/>
      <c r="C25" s="112"/>
      <c r="D25" s="112"/>
      <c r="E25" s="84"/>
      <c r="F25" s="149"/>
      <c r="G25" s="84"/>
      <c r="H25" s="149"/>
    </row>
    <row r="26" ht="15.75" customHeight="1">
      <c r="A26" s="112" t="s">
        <v>369</v>
      </c>
      <c r="E26" s="84" t="s">
        <v>229</v>
      </c>
      <c r="F26" s="113">
        <v>1.0</v>
      </c>
      <c r="G26" s="84" t="s">
        <v>313</v>
      </c>
      <c r="H26" s="113">
        <v>2.0</v>
      </c>
    </row>
    <row r="27" ht="15.75" customHeight="1">
      <c r="A27" s="19" t="s">
        <v>334</v>
      </c>
    </row>
    <row r="28" ht="15.75" customHeight="1">
      <c r="A28" s="119" t="s">
        <v>244</v>
      </c>
      <c r="B28" s="150" t="s">
        <v>118</v>
      </c>
      <c r="C28" s="24"/>
      <c r="D28" s="24"/>
      <c r="E28" s="24"/>
      <c r="F28" s="24"/>
      <c r="G28" s="24"/>
      <c r="H28" s="29"/>
      <c r="I28" s="146" t="s">
        <v>329</v>
      </c>
      <c r="J28" s="109"/>
      <c r="K28" s="109"/>
      <c r="L28" s="109"/>
      <c r="M28" s="109"/>
      <c r="N28" s="109"/>
      <c r="O28" s="109"/>
    </row>
    <row r="29" ht="15.75" customHeight="1">
      <c r="A29" s="119" t="s">
        <v>244</v>
      </c>
      <c r="B29" s="72"/>
      <c r="C29" s="24"/>
      <c r="D29" s="24"/>
      <c r="E29" s="24"/>
      <c r="F29" s="24"/>
      <c r="G29" s="24"/>
      <c r="H29" s="29"/>
    </row>
    <row r="30" ht="15.75" customHeight="1">
      <c r="A30" s="119" t="s">
        <v>244</v>
      </c>
      <c r="B30" s="28"/>
      <c r="C30" s="24"/>
      <c r="D30" s="24"/>
      <c r="E30" s="24"/>
      <c r="F30" s="24"/>
      <c r="G30" s="24"/>
      <c r="H30" s="29"/>
    </row>
    <row r="31" ht="15.75" customHeight="1">
      <c r="A31" s="119" t="s">
        <v>318</v>
      </c>
      <c r="B31" s="144" t="s">
        <v>415</v>
      </c>
      <c r="C31" s="138"/>
      <c r="D31" s="138"/>
      <c r="E31" s="138"/>
      <c r="F31" s="138"/>
      <c r="G31" s="138"/>
      <c r="H31" s="137"/>
    </row>
    <row r="32" ht="15.75" customHeight="1">
      <c r="A32" s="114" t="s">
        <v>320</v>
      </c>
      <c r="B32" s="24"/>
      <c r="C32" s="24"/>
      <c r="D32" s="24"/>
      <c r="E32" s="24"/>
      <c r="F32" s="24"/>
      <c r="G32" s="24"/>
      <c r="H32" s="29"/>
    </row>
    <row r="33" ht="15.75" customHeight="1">
      <c r="A33" s="116" t="s">
        <v>428</v>
      </c>
      <c r="B33" s="100"/>
      <c r="C33" s="100"/>
      <c r="D33" s="100"/>
      <c r="E33" s="100"/>
      <c r="F33" s="100"/>
      <c r="G33" s="100"/>
      <c r="H33" s="101"/>
    </row>
    <row r="34" ht="15.75" customHeight="1">
      <c r="A34" s="131"/>
      <c r="H34" s="132"/>
    </row>
    <row r="35" ht="15.75" customHeight="1">
      <c r="A35" s="102"/>
      <c r="B35" s="103"/>
      <c r="C35" s="103"/>
      <c r="D35" s="103"/>
      <c r="E35" s="103"/>
      <c r="F35" s="103"/>
      <c r="G35" s="103"/>
      <c r="H35" s="104"/>
    </row>
    <row r="36" ht="15.75" customHeight="1">
      <c r="A36" s="114" t="s">
        <v>322</v>
      </c>
      <c r="B36" s="24"/>
      <c r="C36" s="24"/>
      <c r="D36" s="24"/>
      <c r="E36" s="24"/>
      <c r="F36" s="24"/>
      <c r="G36" s="24"/>
      <c r="H36" s="29"/>
    </row>
    <row r="37" ht="15.75" customHeight="1">
      <c r="A37" s="116" t="s">
        <v>446</v>
      </c>
      <c r="B37" s="100"/>
      <c r="C37" s="100"/>
      <c r="D37" s="100"/>
      <c r="E37" s="100"/>
      <c r="F37" s="100"/>
      <c r="G37" s="100"/>
      <c r="H37" s="101"/>
    </row>
    <row r="38" ht="15.75" customHeight="1">
      <c r="A38" s="131"/>
      <c r="H38" s="132"/>
    </row>
    <row r="39" ht="15.75" customHeight="1">
      <c r="A39" s="131"/>
      <c r="H39" s="132"/>
    </row>
    <row r="40" ht="15.75" customHeight="1">
      <c r="A40" s="102"/>
      <c r="B40" s="103"/>
      <c r="C40" s="103"/>
      <c r="D40" s="103"/>
      <c r="E40" s="103"/>
      <c r="F40" s="103"/>
      <c r="G40" s="103"/>
      <c r="H40" s="104"/>
    </row>
    <row r="41" ht="15.75" customHeight="1"/>
    <row r="42" ht="15.75" customHeight="1"/>
    <row r="43" ht="15.75" customHeight="1">
      <c r="A43" s="112" t="s">
        <v>447</v>
      </c>
      <c r="E43" s="84" t="s">
        <v>229</v>
      </c>
      <c r="F43" s="113">
        <v>1.0</v>
      </c>
      <c r="G43" s="84" t="s">
        <v>313</v>
      </c>
      <c r="H43" s="113">
        <v>3.0</v>
      </c>
    </row>
    <row r="44" ht="15.75" customHeight="1">
      <c r="A44" s="19" t="s">
        <v>334</v>
      </c>
    </row>
    <row r="45" ht="15.75" customHeight="1">
      <c r="A45" s="119" t="s">
        <v>244</v>
      </c>
      <c r="B45" s="150" t="s">
        <v>118</v>
      </c>
      <c r="C45" s="24"/>
      <c r="D45" s="24"/>
      <c r="E45" s="24"/>
      <c r="F45" s="24"/>
      <c r="G45" s="24"/>
      <c r="H45" s="29"/>
      <c r="I45" s="146" t="s">
        <v>329</v>
      </c>
      <c r="J45" s="109"/>
      <c r="K45" s="109"/>
      <c r="L45" s="109"/>
      <c r="M45" s="109"/>
      <c r="N45" s="109"/>
      <c r="O45" s="109"/>
    </row>
    <row r="46" ht="15.75" customHeight="1">
      <c r="A46" s="119" t="s">
        <v>244</v>
      </c>
      <c r="B46" s="28"/>
      <c r="C46" s="24"/>
      <c r="D46" s="24"/>
      <c r="E46" s="24"/>
      <c r="F46" s="24"/>
      <c r="G46" s="24"/>
      <c r="H46" s="29"/>
    </row>
    <row r="47" ht="15.75" customHeight="1">
      <c r="A47" s="119" t="s">
        <v>244</v>
      </c>
      <c r="B47" s="28"/>
      <c r="C47" s="24"/>
      <c r="D47" s="24"/>
      <c r="E47" s="24"/>
      <c r="F47" s="24"/>
      <c r="G47" s="24"/>
      <c r="H47" s="29"/>
    </row>
    <row r="48" ht="15.75" customHeight="1">
      <c r="A48" s="119" t="s">
        <v>318</v>
      </c>
      <c r="B48" s="144" t="s">
        <v>448</v>
      </c>
      <c r="C48" s="138"/>
      <c r="D48" s="138"/>
      <c r="E48" s="138"/>
      <c r="F48" s="138"/>
      <c r="G48" s="138"/>
      <c r="H48" s="137"/>
    </row>
    <row r="49" ht="15.75" customHeight="1">
      <c r="A49" s="114" t="s">
        <v>320</v>
      </c>
      <c r="B49" s="24"/>
      <c r="C49" s="24"/>
      <c r="D49" s="24"/>
      <c r="E49" s="24"/>
      <c r="F49" s="24"/>
      <c r="G49" s="24"/>
      <c r="H49" s="29"/>
    </row>
    <row r="50" ht="15.75" customHeight="1">
      <c r="A50" s="144" t="s">
        <v>428</v>
      </c>
      <c r="B50" s="151"/>
      <c r="C50" s="151"/>
      <c r="D50" s="151"/>
      <c r="E50" s="151"/>
      <c r="F50" s="151"/>
      <c r="G50" s="151"/>
      <c r="H50" s="152"/>
    </row>
    <row r="51" ht="15.75" customHeight="1">
      <c r="A51" s="153"/>
      <c r="B51" s="6"/>
      <c r="C51" s="6"/>
      <c r="D51" s="6"/>
      <c r="E51" s="6"/>
      <c r="F51" s="6"/>
      <c r="G51" s="6"/>
      <c r="H51" s="154"/>
    </row>
    <row r="52" ht="15.75" customHeight="1">
      <c r="A52" s="155"/>
      <c r="B52" s="156"/>
      <c r="C52" s="156"/>
      <c r="D52" s="156"/>
      <c r="E52" s="156"/>
      <c r="F52" s="156"/>
      <c r="G52" s="156"/>
      <c r="H52" s="157"/>
    </row>
    <row r="53" ht="15.75" customHeight="1">
      <c r="A53" s="114" t="s">
        <v>322</v>
      </c>
      <c r="B53" s="24"/>
      <c r="C53" s="24"/>
      <c r="D53" s="24"/>
      <c r="E53" s="24"/>
      <c r="F53" s="24"/>
      <c r="G53" s="24"/>
      <c r="H53" s="29"/>
    </row>
    <row r="54" ht="15.75" customHeight="1">
      <c r="A54" s="116" t="s">
        <v>449</v>
      </c>
      <c r="B54" s="100"/>
      <c r="C54" s="100"/>
      <c r="D54" s="100"/>
      <c r="E54" s="100"/>
      <c r="F54" s="100"/>
      <c r="G54" s="100"/>
      <c r="H54" s="101"/>
    </row>
    <row r="55" ht="15.75" customHeight="1">
      <c r="A55" s="131"/>
      <c r="H55" s="132"/>
    </row>
    <row r="56" ht="15.75" customHeight="1">
      <c r="A56" s="131"/>
      <c r="H56" s="132"/>
    </row>
    <row r="57" ht="15.75" customHeight="1">
      <c r="A57" s="102"/>
      <c r="B57" s="103"/>
      <c r="C57" s="103"/>
      <c r="D57" s="103"/>
      <c r="E57" s="103"/>
      <c r="F57" s="103"/>
      <c r="G57" s="103"/>
      <c r="H57" s="104"/>
    </row>
    <row r="58" ht="15.75" customHeight="1"/>
    <row r="59" ht="15.75" customHeight="1"/>
    <row r="60" ht="15.75" customHeight="1">
      <c r="A60" s="112" t="s">
        <v>450</v>
      </c>
      <c r="E60" s="84" t="s">
        <v>229</v>
      </c>
      <c r="F60" s="113">
        <v>1.0</v>
      </c>
      <c r="G60" s="84" t="s">
        <v>313</v>
      </c>
      <c r="H60" s="113">
        <v>4.0</v>
      </c>
    </row>
    <row r="61" ht="15.75" customHeight="1">
      <c r="A61" s="129" t="s">
        <v>336</v>
      </c>
    </row>
    <row r="62" ht="15.75" customHeight="1">
      <c r="A62" s="119" t="s">
        <v>244</v>
      </c>
      <c r="B62" s="150" t="s">
        <v>118</v>
      </c>
      <c r="C62" s="24"/>
      <c r="D62" s="24"/>
      <c r="E62" s="24"/>
      <c r="F62" s="24"/>
      <c r="G62" s="24"/>
      <c r="H62" s="29"/>
      <c r="I62" s="146" t="s">
        <v>329</v>
      </c>
      <c r="J62" s="109"/>
      <c r="K62" s="109"/>
      <c r="L62" s="109"/>
      <c r="M62" s="109"/>
      <c r="N62" s="109"/>
      <c r="O62" s="109"/>
    </row>
    <row r="63" ht="15.75" customHeight="1">
      <c r="A63" s="119" t="s">
        <v>244</v>
      </c>
      <c r="B63" s="72" t="s">
        <v>66</v>
      </c>
      <c r="C63" s="24"/>
      <c r="D63" s="24"/>
      <c r="E63" s="24"/>
      <c r="F63" s="24"/>
      <c r="G63" s="24"/>
      <c r="H63" s="29"/>
    </row>
    <row r="64" ht="15.75" customHeight="1">
      <c r="A64" s="119" t="s">
        <v>244</v>
      </c>
      <c r="B64" s="28"/>
      <c r="C64" s="24"/>
      <c r="D64" s="24"/>
      <c r="E64" s="24"/>
      <c r="F64" s="24"/>
      <c r="G64" s="24"/>
      <c r="H64" s="29"/>
    </row>
    <row r="65" ht="15.75" customHeight="1">
      <c r="A65" s="119" t="s">
        <v>318</v>
      </c>
      <c r="B65" s="144" t="s">
        <v>451</v>
      </c>
      <c r="C65" s="138"/>
      <c r="D65" s="138"/>
      <c r="E65" s="138"/>
      <c r="F65" s="138"/>
      <c r="G65" s="138"/>
      <c r="H65" s="137"/>
    </row>
    <row r="66" ht="15.75" customHeight="1">
      <c r="A66" s="114" t="s">
        <v>320</v>
      </c>
      <c r="B66" s="24"/>
      <c r="C66" s="24"/>
      <c r="D66" s="24"/>
      <c r="E66" s="24"/>
      <c r="F66" s="24"/>
      <c r="G66" s="24"/>
      <c r="H66" s="29"/>
    </row>
    <row r="67" ht="15.75" customHeight="1">
      <c r="A67" s="144" t="s">
        <v>452</v>
      </c>
      <c r="B67" s="151"/>
      <c r="C67" s="151"/>
      <c r="D67" s="151"/>
      <c r="E67" s="151"/>
      <c r="F67" s="151"/>
      <c r="G67" s="151"/>
      <c r="H67" s="152"/>
    </row>
    <row r="68" ht="15.75" customHeight="1">
      <c r="A68" s="153"/>
      <c r="B68" s="6"/>
      <c r="C68" s="6"/>
      <c r="D68" s="6"/>
      <c r="E68" s="6"/>
      <c r="F68" s="6"/>
      <c r="G68" s="6"/>
      <c r="H68" s="154"/>
    </row>
    <row r="69" ht="15.75" customHeight="1">
      <c r="A69" s="155"/>
      <c r="B69" s="156"/>
      <c r="C69" s="156"/>
      <c r="D69" s="156"/>
      <c r="E69" s="156"/>
      <c r="F69" s="156"/>
      <c r="G69" s="156"/>
      <c r="H69" s="157"/>
    </row>
    <row r="70" ht="15.75" customHeight="1">
      <c r="A70" s="114" t="s">
        <v>322</v>
      </c>
      <c r="B70" s="24"/>
      <c r="C70" s="24"/>
      <c r="D70" s="24"/>
      <c r="E70" s="24"/>
      <c r="F70" s="24"/>
      <c r="G70" s="24"/>
      <c r="H70" s="29"/>
    </row>
    <row r="71" ht="15.75" customHeight="1">
      <c r="A71" s="116" t="s">
        <v>453</v>
      </c>
      <c r="B71" s="100"/>
      <c r="C71" s="100"/>
      <c r="D71" s="100"/>
      <c r="E71" s="100"/>
      <c r="F71" s="100"/>
      <c r="G71" s="100"/>
      <c r="H71" s="101"/>
    </row>
    <row r="72" ht="15.75" customHeight="1">
      <c r="A72" s="131"/>
      <c r="H72" s="132"/>
    </row>
    <row r="73" ht="15.75" customHeight="1">
      <c r="A73" s="131"/>
      <c r="H73" s="132"/>
    </row>
    <row r="74" ht="15.75" customHeight="1">
      <c r="A74" s="102"/>
      <c r="B74" s="103"/>
      <c r="C74" s="103"/>
      <c r="D74" s="103"/>
      <c r="E74" s="103"/>
      <c r="F74" s="103"/>
      <c r="G74" s="103"/>
      <c r="H74" s="104"/>
    </row>
    <row r="75" ht="15.75" customHeight="1"/>
    <row r="76" ht="15.75" customHeight="1"/>
    <row r="77" ht="15.75" customHeight="1">
      <c r="A77" s="112" t="s">
        <v>454</v>
      </c>
      <c r="E77" s="84" t="s">
        <v>229</v>
      </c>
      <c r="F77" s="113">
        <v>1.0</v>
      </c>
      <c r="G77" s="84" t="s">
        <v>313</v>
      </c>
      <c r="H77" s="113">
        <v>3.0</v>
      </c>
    </row>
    <row r="78" ht="15.75" customHeight="1">
      <c r="A78" s="129" t="s">
        <v>336</v>
      </c>
    </row>
    <row r="79" ht="15.75" customHeight="1">
      <c r="A79" s="119" t="s">
        <v>244</v>
      </c>
      <c r="B79" s="72" t="s">
        <v>96</v>
      </c>
      <c r="C79" s="24"/>
      <c r="D79" s="24"/>
      <c r="E79" s="24"/>
      <c r="F79" s="24"/>
      <c r="G79" s="24"/>
      <c r="H79" s="29"/>
    </row>
    <row r="80" ht="15.75" customHeight="1">
      <c r="A80" s="119" t="s">
        <v>244</v>
      </c>
      <c r="B80" s="72" t="s">
        <v>150</v>
      </c>
      <c r="C80" s="24"/>
      <c r="D80" s="24"/>
      <c r="E80" s="24"/>
      <c r="F80" s="24"/>
      <c r="G80" s="24"/>
      <c r="H80" s="29"/>
    </row>
    <row r="81" ht="15.75" customHeight="1">
      <c r="A81" s="119" t="s">
        <v>244</v>
      </c>
      <c r="B81" s="28"/>
      <c r="C81" s="24"/>
      <c r="D81" s="24"/>
      <c r="E81" s="24"/>
      <c r="F81" s="24"/>
      <c r="G81" s="24"/>
      <c r="H81" s="29"/>
    </row>
    <row r="82" ht="15.75" customHeight="1">
      <c r="A82" s="119" t="s">
        <v>318</v>
      </c>
      <c r="B82" s="72" t="s">
        <v>455</v>
      </c>
      <c r="C82" s="24"/>
      <c r="D82" s="24"/>
      <c r="E82" s="24"/>
      <c r="F82" s="24"/>
      <c r="G82" s="24"/>
      <c r="H82" s="29"/>
    </row>
    <row r="83" ht="15.75" customHeight="1">
      <c r="A83" s="114" t="s">
        <v>320</v>
      </c>
      <c r="B83" s="24"/>
      <c r="C83" s="24"/>
      <c r="D83" s="24"/>
      <c r="E83" s="24"/>
      <c r="F83" s="24"/>
      <c r="G83" s="24"/>
      <c r="H83" s="29"/>
    </row>
    <row r="84" ht="15.75" customHeight="1">
      <c r="A84" s="116" t="s">
        <v>456</v>
      </c>
      <c r="B84" s="100"/>
      <c r="C84" s="100"/>
      <c r="D84" s="100"/>
      <c r="E84" s="100"/>
      <c r="F84" s="100"/>
      <c r="G84" s="100"/>
      <c r="H84" s="101"/>
    </row>
    <row r="85" ht="15.75" customHeight="1">
      <c r="A85" s="131"/>
      <c r="H85" s="132"/>
    </row>
    <row r="86" ht="15.75" customHeight="1">
      <c r="A86" s="102"/>
      <c r="B86" s="103"/>
      <c r="C86" s="103"/>
      <c r="D86" s="103"/>
      <c r="E86" s="103"/>
      <c r="F86" s="103"/>
      <c r="G86" s="103"/>
      <c r="H86" s="104"/>
    </row>
    <row r="87" ht="15.75" customHeight="1">
      <c r="A87" s="114" t="s">
        <v>322</v>
      </c>
      <c r="B87" s="24"/>
      <c r="C87" s="24"/>
      <c r="D87" s="24"/>
      <c r="E87" s="24"/>
      <c r="F87" s="24"/>
      <c r="G87" s="24"/>
      <c r="H87" s="29"/>
    </row>
    <row r="88" ht="15.75" customHeight="1">
      <c r="A88" s="116" t="s">
        <v>457</v>
      </c>
      <c r="B88" s="100"/>
      <c r="C88" s="100"/>
      <c r="D88" s="100"/>
      <c r="E88" s="100"/>
      <c r="F88" s="100"/>
      <c r="G88" s="100"/>
      <c r="H88" s="101"/>
    </row>
    <row r="89" ht="15.75" customHeight="1">
      <c r="A89" s="131"/>
      <c r="H89" s="132"/>
    </row>
    <row r="90" ht="15.75" customHeight="1">
      <c r="A90" s="131"/>
      <c r="H90" s="132"/>
    </row>
    <row r="91" ht="15.75" customHeight="1">
      <c r="A91" s="102"/>
      <c r="B91" s="103"/>
      <c r="C91" s="103"/>
      <c r="D91" s="103"/>
      <c r="E91" s="103"/>
      <c r="F91" s="103"/>
      <c r="G91" s="103"/>
      <c r="H91" s="104"/>
    </row>
    <row r="92" ht="15.75" customHeight="1"/>
    <row r="93" ht="15.75" customHeight="1"/>
    <row r="94" ht="15.75" customHeight="1">
      <c r="A94" s="112" t="s">
        <v>458</v>
      </c>
      <c r="E94" s="84" t="s">
        <v>229</v>
      </c>
      <c r="F94" s="125"/>
      <c r="G94" s="84" t="s">
        <v>313</v>
      </c>
      <c r="H94" s="125"/>
    </row>
    <row r="95" ht="15.75" customHeight="1">
      <c r="A95" s="129" t="s">
        <v>336</v>
      </c>
    </row>
    <row r="96" ht="15.75" customHeight="1">
      <c r="A96" s="119" t="s">
        <v>244</v>
      </c>
      <c r="B96" s="28"/>
      <c r="C96" s="24"/>
      <c r="D96" s="24"/>
      <c r="E96" s="24"/>
      <c r="F96" s="24"/>
      <c r="G96" s="24"/>
      <c r="H96" s="29"/>
    </row>
    <row r="97" ht="15.75" customHeight="1">
      <c r="A97" s="119" t="s">
        <v>244</v>
      </c>
      <c r="B97" s="28"/>
      <c r="C97" s="24"/>
      <c r="D97" s="24"/>
      <c r="E97" s="24"/>
      <c r="F97" s="24"/>
      <c r="G97" s="24"/>
      <c r="H97" s="29"/>
    </row>
    <row r="98" ht="15.75" customHeight="1">
      <c r="A98" s="119" t="s">
        <v>244</v>
      </c>
      <c r="B98" s="28"/>
      <c r="C98" s="24"/>
      <c r="D98" s="24"/>
      <c r="E98" s="24"/>
      <c r="F98" s="24"/>
      <c r="G98" s="24"/>
      <c r="H98" s="29"/>
    </row>
    <row r="99" ht="15.75" customHeight="1">
      <c r="A99" s="119" t="s">
        <v>318</v>
      </c>
      <c r="B99" s="28"/>
      <c r="C99" s="24"/>
      <c r="D99" s="24"/>
      <c r="E99" s="24"/>
      <c r="F99" s="24"/>
      <c r="G99" s="24"/>
      <c r="H99" s="29"/>
    </row>
    <row r="100" ht="15.75" customHeight="1">
      <c r="A100" s="114" t="s">
        <v>320</v>
      </c>
      <c r="B100" s="24"/>
      <c r="C100" s="24"/>
      <c r="D100" s="24"/>
      <c r="E100" s="24"/>
      <c r="F100" s="24"/>
      <c r="G100" s="24"/>
      <c r="H100" s="29"/>
    </row>
    <row r="101" ht="15.75" customHeight="1">
      <c r="A101" s="130"/>
      <c r="B101" s="100"/>
      <c r="C101" s="100"/>
      <c r="D101" s="100"/>
      <c r="E101" s="100"/>
      <c r="F101" s="100"/>
      <c r="G101" s="100"/>
      <c r="H101" s="101"/>
    </row>
    <row r="102" ht="15.75" customHeight="1">
      <c r="A102" s="131"/>
      <c r="H102" s="132"/>
    </row>
    <row r="103" ht="15.75" customHeight="1">
      <c r="A103" s="102"/>
      <c r="B103" s="103"/>
      <c r="C103" s="103"/>
      <c r="D103" s="103"/>
      <c r="E103" s="103"/>
      <c r="F103" s="103"/>
      <c r="G103" s="103"/>
      <c r="H103" s="104"/>
    </row>
    <row r="104" ht="15.75" customHeight="1">
      <c r="A104" s="114" t="s">
        <v>322</v>
      </c>
      <c r="B104" s="24"/>
      <c r="C104" s="24"/>
      <c r="D104" s="24"/>
      <c r="E104" s="24"/>
      <c r="F104" s="24"/>
      <c r="G104" s="24"/>
      <c r="H104" s="29"/>
    </row>
    <row r="105" ht="15.75" customHeight="1">
      <c r="A105" s="130"/>
      <c r="B105" s="100"/>
      <c r="C105" s="100"/>
      <c r="D105" s="100"/>
      <c r="E105" s="100"/>
      <c r="F105" s="100"/>
      <c r="G105" s="100"/>
      <c r="H105" s="101"/>
    </row>
    <row r="106" ht="15.75" customHeight="1">
      <c r="A106" s="131"/>
      <c r="H106" s="132"/>
    </row>
    <row r="107" ht="15.75" customHeight="1">
      <c r="A107" s="131"/>
      <c r="H107" s="132"/>
    </row>
    <row r="108" ht="15.75" customHeight="1">
      <c r="A108" s="102"/>
      <c r="B108" s="103"/>
      <c r="C108" s="103"/>
      <c r="D108" s="103"/>
      <c r="E108" s="103"/>
      <c r="F108" s="103"/>
      <c r="G108" s="103"/>
      <c r="H108" s="104"/>
    </row>
    <row r="109" ht="15.75" customHeight="1"/>
    <row r="110" ht="15.75" customHeight="1"/>
    <row r="111" ht="15.75" customHeight="1">
      <c r="A111" s="112" t="s">
        <v>459</v>
      </c>
      <c r="E111" s="84" t="s">
        <v>229</v>
      </c>
      <c r="F111" s="125"/>
      <c r="G111" s="84" t="s">
        <v>313</v>
      </c>
      <c r="H111" s="125"/>
    </row>
    <row r="112" ht="15.75" customHeight="1">
      <c r="A112" s="129" t="s">
        <v>336</v>
      </c>
    </row>
    <row r="113" ht="15.75" customHeight="1">
      <c r="A113" s="119" t="s">
        <v>244</v>
      </c>
      <c r="B113" s="28"/>
      <c r="C113" s="24"/>
      <c r="D113" s="24"/>
      <c r="E113" s="24"/>
      <c r="F113" s="24"/>
      <c r="G113" s="24"/>
      <c r="H113" s="29"/>
    </row>
    <row r="114" ht="15.75" customHeight="1">
      <c r="A114" s="119" t="s">
        <v>244</v>
      </c>
      <c r="B114" s="28"/>
      <c r="C114" s="24"/>
      <c r="D114" s="24"/>
      <c r="E114" s="24"/>
      <c r="F114" s="24"/>
      <c r="G114" s="24"/>
      <c r="H114" s="29"/>
    </row>
    <row r="115" ht="15.75" customHeight="1">
      <c r="A115" s="119" t="s">
        <v>244</v>
      </c>
      <c r="B115" s="28"/>
      <c r="C115" s="24"/>
      <c r="D115" s="24"/>
      <c r="E115" s="24"/>
      <c r="F115" s="24"/>
      <c r="G115" s="24"/>
      <c r="H115" s="29"/>
    </row>
    <row r="116" ht="15.75" customHeight="1">
      <c r="A116" s="119" t="s">
        <v>318</v>
      </c>
      <c r="B116" s="28"/>
      <c r="C116" s="24"/>
      <c r="D116" s="24"/>
      <c r="E116" s="24"/>
      <c r="F116" s="24"/>
      <c r="G116" s="24"/>
      <c r="H116" s="29"/>
    </row>
    <row r="117" ht="15.75" customHeight="1">
      <c r="A117" s="114" t="s">
        <v>320</v>
      </c>
      <c r="B117" s="24"/>
      <c r="C117" s="24"/>
      <c r="D117" s="24"/>
      <c r="E117" s="24"/>
      <c r="F117" s="24"/>
      <c r="G117" s="24"/>
      <c r="H117" s="29"/>
    </row>
    <row r="118" ht="15.75" customHeight="1">
      <c r="A118" s="130"/>
      <c r="B118" s="100"/>
      <c r="C118" s="100"/>
      <c r="D118" s="100"/>
      <c r="E118" s="100"/>
      <c r="F118" s="100"/>
      <c r="G118" s="100"/>
      <c r="H118" s="101"/>
    </row>
    <row r="119" ht="15.75" customHeight="1">
      <c r="A119" s="131"/>
      <c r="H119" s="132"/>
    </row>
    <row r="120" ht="15.75" customHeight="1">
      <c r="A120" s="102"/>
      <c r="B120" s="103"/>
      <c r="C120" s="103"/>
      <c r="D120" s="103"/>
      <c r="E120" s="103"/>
      <c r="F120" s="103"/>
      <c r="G120" s="103"/>
      <c r="H120" s="104"/>
    </row>
    <row r="121" ht="15.75" customHeight="1">
      <c r="A121" s="114" t="s">
        <v>322</v>
      </c>
      <c r="B121" s="24"/>
      <c r="C121" s="24"/>
      <c r="D121" s="24"/>
      <c r="E121" s="24"/>
      <c r="F121" s="24"/>
      <c r="G121" s="24"/>
      <c r="H121" s="29"/>
    </row>
    <row r="122" ht="15.75" customHeight="1">
      <c r="A122" s="130"/>
      <c r="B122" s="100"/>
      <c r="C122" s="100"/>
      <c r="D122" s="100"/>
      <c r="E122" s="100"/>
      <c r="F122" s="100"/>
      <c r="G122" s="100"/>
      <c r="H122" s="101"/>
    </row>
    <row r="123" ht="15.75" customHeight="1">
      <c r="A123" s="131"/>
      <c r="H123" s="132"/>
    </row>
    <row r="124" ht="15.75" customHeight="1">
      <c r="A124" s="131"/>
      <c r="H124" s="132"/>
    </row>
    <row r="125" ht="15.75" customHeight="1">
      <c r="A125" s="102"/>
      <c r="B125" s="103"/>
      <c r="C125" s="103"/>
      <c r="D125" s="103"/>
      <c r="E125" s="103"/>
      <c r="F125" s="103"/>
      <c r="G125" s="103"/>
      <c r="H125" s="104"/>
    </row>
    <row r="126" ht="15.75" customHeight="1"/>
    <row r="127" ht="15.75" customHeight="1"/>
    <row r="128" ht="15.75" customHeight="1">
      <c r="A128" s="112" t="s">
        <v>460</v>
      </c>
      <c r="E128" s="84" t="s">
        <v>229</v>
      </c>
      <c r="F128" s="125"/>
      <c r="G128" s="84" t="s">
        <v>313</v>
      </c>
      <c r="H128" s="125"/>
    </row>
    <row r="129" ht="15.75" customHeight="1">
      <c r="A129" s="129" t="s">
        <v>336</v>
      </c>
    </row>
    <row r="130" ht="15.75" customHeight="1">
      <c r="A130" s="119" t="s">
        <v>244</v>
      </c>
      <c r="B130" s="28"/>
      <c r="C130" s="24"/>
      <c r="D130" s="24"/>
      <c r="E130" s="24"/>
      <c r="F130" s="24"/>
      <c r="G130" s="24"/>
      <c r="H130" s="29"/>
    </row>
    <row r="131" ht="15.75" customHeight="1">
      <c r="A131" s="119" t="s">
        <v>244</v>
      </c>
      <c r="B131" s="28"/>
      <c r="C131" s="24"/>
      <c r="D131" s="24"/>
      <c r="E131" s="24"/>
      <c r="F131" s="24"/>
      <c r="G131" s="24"/>
      <c r="H131" s="29"/>
    </row>
    <row r="132" ht="15.75" customHeight="1">
      <c r="A132" s="119" t="s">
        <v>244</v>
      </c>
      <c r="B132" s="28"/>
      <c r="C132" s="24"/>
      <c r="D132" s="24"/>
      <c r="E132" s="24"/>
      <c r="F132" s="24"/>
      <c r="G132" s="24"/>
      <c r="H132" s="29"/>
    </row>
    <row r="133" ht="15.75" customHeight="1">
      <c r="A133" s="119" t="s">
        <v>318</v>
      </c>
      <c r="B133" s="28"/>
      <c r="C133" s="24"/>
      <c r="D133" s="24"/>
      <c r="E133" s="24"/>
      <c r="F133" s="24"/>
      <c r="G133" s="24"/>
      <c r="H133" s="29"/>
    </row>
    <row r="134" ht="15.75" customHeight="1">
      <c r="A134" s="114" t="s">
        <v>320</v>
      </c>
      <c r="B134" s="24"/>
      <c r="C134" s="24"/>
      <c r="D134" s="24"/>
      <c r="E134" s="24"/>
      <c r="F134" s="24"/>
      <c r="G134" s="24"/>
      <c r="H134" s="29"/>
    </row>
    <row r="135" ht="15.75" customHeight="1">
      <c r="A135" s="130"/>
      <c r="B135" s="100"/>
      <c r="C135" s="100"/>
      <c r="D135" s="100"/>
      <c r="E135" s="100"/>
      <c r="F135" s="100"/>
      <c r="G135" s="100"/>
      <c r="H135" s="101"/>
    </row>
    <row r="136" ht="15.75" customHeight="1">
      <c r="A136" s="131"/>
      <c r="H136" s="132"/>
    </row>
    <row r="137" ht="15.75" customHeight="1">
      <c r="A137" s="102"/>
      <c r="B137" s="103"/>
      <c r="C137" s="103"/>
      <c r="D137" s="103"/>
      <c r="E137" s="103"/>
      <c r="F137" s="103"/>
      <c r="G137" s="103"/>
      <c r="H137" s="104"/>
    </row>
    <row r="138" ht="15.75" customHeight="1">
      <c r="A138" s="114" t="s">
        <v>322</v>
      </c>
      <c r="B138" s="24"/>
      <c r="C138" s="24"/>
      <c r="D138" s="24"/>
      <c r="E138" s="24"/>
      <c r="F138" s="24"/>
      <c r="G138" s="24"/>
      <c r="H138" s="29"/>
    </row>
    <row r="139" ht="15.75" customHeight="1">
      <c r="A139" s="130"/>
      <c r="B139" s="100"/>
      <c r="C139" s="100"/>
      <c r="D139" s="100"/>
      <c r="E139" s="100"/>
      <c r="F139" s="100"/>
      <c r="G139" s="100"/>
      <c r="H139" s="101"/>
    </row>
    <row r="140" ht="15.75" customHeight="1">
      <c r="A140" s="131"/>
      <c r="H140" s="132"/>
    </row>
    <row r="141" ht="15.75" customHeight="1">
      <c r="A141" s="131"/>
      <c r="H141" s="132"/>
    </row>
    <row r="142" ht="15.75" customHeight="1">
      <c r="A142" s="102"/>
      <c r="B142" s="103"/>
      <c r="C142" s="103"/>
      <c r="D142" s="103"/>
      <c r="E142" s="103"/>
      <c r="F142" s="103"/>
      <c r="G142" s="103"/>
      <c r="H142" s="104"/>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sheetData>
  <mergeCells count="70">
    <mergeCell ref="A101:H103"/>
    <mergeCell ref="A104:H104"/>
    <mergeCell ref="A105:H108"/>
    <mergeCell ref="A111:D111"/>
    <mergeCell ref="B113:H113"/>
    <mergeCell ref="B114:H114"/>
    <mergeCell ref="B115:H115"/>
    <mergeCell ref="B131:H131"/>
    <mergeCell ref="B132:H132"/>
    <mergeCell ref="B133:H133"/>
    <mergeCell ref="A134:H134"/>
    <mergeCell ref="A135:H137"/>
    <mergeCell ref="A138:H138"/>
    <mergeCell ref="A139:H142"/>
    <mergeCell ref="B116:H116"/>
    <mergeCell ref="A117:H117"/>
    <mergeCell ref="A118:H120"/>
    <mergeCell ref="A121:H121"/>
    <mergeCell ref="A122:H125"/>
    <mergeCell ref="A128:D128"/>
    <mergeCell ref="B130:H130"/>
    <mergeCell ref="B2:H2"/>
    <mergeCell ref="C4:G4"/>
    <mergeCell ref="C5:G5"/>
    <mergeCell ref="C6:G6"/>
    <mergeCell ref="A9:D9"/>
    <mergeCell ref="B11:H11"/>
    <mergeCell ref="B12:H12"/>
    <mergeCell ref="B13:H13"/>
    <mergeCell ref="A15:H15"/>
    <mergeCell ref="A16:H18"/>
    <mergeCell ref="A19:H19"/>
    <mergeCell ref="A20:H23"/>
    <mergeCell ref="A26:D26"/>
    <mergeCell ref="B28:H28"/>
    <mergeCell ref="B29:H29"/>
    <mergeCell ref="B30:H30"/>
    <mergeCell ref="A32:H32"/>
    <mergeCell ref="A33:H35"/>
    <mergeCell ref="A36:H36"/>
    <mergeCell ref="A37:H40"/>
    <mergeCell ref="A43:D43"/>
    <mergeCell ref="B45:H45"/>
    <mergeCell ref="B46:H46"/>
    <mergeCell ref="B47:H47"/>
    <mergeCell ref="A49:H49"/>
    <mergeCell ref="A53:H53"/>
    <mergeCell ref="A54:H57"/>
    <mergeCell ref="A60:D60"/>
    <mergeCell ref="B62:H62"/>
    <mergeCell ref="B63:H63"/>
    <mergeCell ref="B64:H64"/>
    <mergeCell ref="A66:H66"/>
    <mergeCell ref="A70:H70"/>
    <mergeCell ref="A71:H74"/>
    <mergeCell ref="A77:D77"/>
    <mergeCell ref="B79:H79"/>
    <mergeCell ref="B80:H80"/>
    <mergeCell ref="B81:H81"/>
    <mergeCell ref="B82:H82"/>
    <mergeCell ref="A83:H83"/>
    <mergeCell ref="A84:H86"/>
    <mergeCell ref="A87:H87"/>
    <mergeCell ref="A88:H91"/>
    <mergeCell ref="A94:D94"/>
    <mergeCell ref="B96:H96"/>
    <mergeCell ref="B97:H97"/>
    <mergeCell ref="B98:H98"/>
    <mergeCell ref="B99:H99"/>
    <mergeCell ref="A100:H100"/>
  </mergeCells>
  <dataValidations>
    <dataValidation type="list" allowBlank="1" showErrorMessage="1" sqref="B12:B13 B30 B46:B47 B64 B81 B96:B98 B113:B115 B130:B132">
      <formula1>Competencias!$C$13:$J$13</formula1>
    </dataValidation>
    <dataValidation type="list" allowBlank="1" showErrorMessage="1" sqref="B11 B28:B29 B45 B62:B63 B79:B80">
      <formula1>Metadata!$B$2:$B$40</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63"/>
    <col customWidth="1" min="2" max="2" width="49.63"/>
    <col customWidth="1" min="3" max="3" width="58.75"/>
    <col customWidth="1" min="4" max="4" width="58.38"/>
  </cols>
  <sheetData>
    <row r="1">
      <c r="A1" s="6" t="s">
        <v>349</v>
      </c>
      <c r="B1" s="6" t="s">
        <v>351</v>
      </c>
      <c r="C1" s="6" t="s">
        <v>18</v>
      </c>
      <c r="D1" s="6" t="s">
        <v>25</v>
      </c>
    </row>
    <row r="2">
      <c r="A2" s="6" t="s">
        <v>352</v>
      </c>
      <c r="B2" s="6" t="str">
        <f>Competencias!C13</f>
        <v>Analiza la evolución y clasificación de los lenguajes formales y de programación mediante la comparación de características, estructuras y paradigmas para comprender su organización y funcionamiento </v>
      </c>
      <c r="C2" s="11" t="s">
        <v>44</v>
      </c>
      <c r="D2" s="11" t="s">
        <v>39</v>
      </c>
    </row>
    <row r="3">
      <c r="A3" s="6" t="s">
        <v>354</v>
      </c>
      <c r="B3" s="6" t="str">
        <f>Competencias!C15</f>
        <v>Crea gramáticas libres de contexto mediante el análisis sintáctico con herramientas para reconocer y validar lenguajes formales </v>
      </c>
      <c r="C3" s="11" t="s">
        <v>356</v>
      </c>
      <c r="D3" s="11" t="s">
        <v>357</v>
      </c>
    </row>
    <row r="4">
      <c r="A4" s="6" t="s">
        <v>358</v>
      </c>
      <c r="B4" s="6" t="str">
        <f>Competencias!C17</f>
        <v>Implementa analizadores léxicos utilizando herramientas y conocimientos de AFD para definir cada estado del autómata y reconocer tokens </v>
      </c>
      <c r="C4" s="11" t="s">
        <v>31</v>
      </c>
      <c r="D4" s="11" t="s">
        <v>45</v>
      </c>
    </row>
    <row r="5">
      <c r="A5" s="6" t="s">
        <v>359</v>
      </c>
      <c r="B5" s="6" t="str">
        <f>Competencias!C19</f>
        <v>Construir analizadores sintacticos utilizando conocimientos de Gramáticas Libres del Contexto, POO, recursividad y programación imperativa para definir cada regla sintáctica </v>
      </c>
      <c r="C5" s="11" t="s">
        <v>360</v>
      </c>
      <c r="D5" s="11" t="s">
        <v>361</v>
      </c>
    </row>
    <row r="6">
      <c r="A6" s="6" t="s">
        <v>362</v>
      </c>
      <c r="B6" s="6" t="str">
        <f>Competencias!C21</f>
        <v>El estudiante aplica el análisis sintáctico  mediante el uso de gramáticas formales y técnicas de parsing (descendente o ascendente) para verificar la estructura gramatical y construir árboles sintácticos que permitan solucionar problemas relacionados con la interpretación de lenguajes formales. </v>
      </c>
      <c r="C6" s="11" t="s">
        <v>363</v>
      </c>
      <c r="D6" s="11" t="s">
        <v>364</v>
      </c>
    </row>
    <row r="7">
      <c r="A7" s="6" t="s">
        <v>365</v>
      </c>
      <c r="B7" s="6" t="str">
        <f>Competencias!C23</f>
        <v>Comprender el funcionamiento del lenguaje de programación a través de su aplicación para la resolución de problemas relacionados con las fases del compilador </v>
      </c>
      <c r="C7" s="11" t="s">
        <v>366</v>
      </c>
      <c r="D7" s="11" t="s">
        <v>367</v>
      </c>
    </row>
    <row r="8">
      <c r="A8" s="6" t="s">
        <v>368</v>
      </c>
      <c r="B8" s="6" t="str">
        <f>Competencias!C25</f>
        <v>El estudiante construye aplicaciones mediante el uso de analisis lexico y sintactico utilizando herramientas de procesamiento de lenguajes formales.</v>
      </c>
      <c r="C8" s="11" t="s">
        <v>370</v>
      </c>
      <c r="D8" s="11" t="s">
        <v>47</v>
      </c>
    </row>
    <row r="9">
      <c r="A9" s="6" t="s">
        <v>371</v>
      </c>
      <c r="C9" s="11" t="s">
        <v>46</v>
      </c>
    </row>
    <row r="10">
      <c r="A10" s="6" t="s">
        <v>372</v>
      </c>
      <c r="C10" s="11" t="s">
        <v>373</v>
      </c>
    </row>
    <row r="11">
      <c r="A11" s="6" t="s">
        <v>374</v>
      </c>
    </row>
    <row r="12">
      <c r="A12" s="6" t="s">
        <v>375</v>
      </c>
    </row>
    <row r="13">
      <c r="A13" s="6" t="s">
        <v>376</v>
      </c>
    </row>
    <row r="14">
      <c r="A14" s="6" t="s">
        <v>377</v>
      </c>
    </row>
    <row r="15">
      <c r="A15" s="6" t="s">
        <v>378</v>
      </c>
    </row>
    <row r="16">
      <c r="A16" s="6" t="s">
        <v>379</v>
      </c>
    </row>
    <row r="17">
      <c r="A17" s="6" t="s">
        <v>380</v>
      </c>
    </row>
    <row r="18">
      <c r="A18" s="6" t="s">
        <v>381</v>
      </c>
    </row>
    <row r="19">
      <c r="A19" s="6" t="s">
        <v>382</v>
      </c>
    </row>
    <row r="20">
      <c r="A20" s="6" t="s">
        <v>2</v>
      </c>
    </row>
    <row r="21">
      <c r="A21" s="6" t="s">
        <v>383</v>
      </c>
    </row>
    <row r="22">
      <c r="A22" s="6" t="s">
        <v>384</v>
      </c>
    </row>
    <row r="23">
      <c r="A23" s="6" t="s">
        <v>385</v>
      </c>
    </row>
    <row r="24">
      <c r="A24" s="6" t="s">
        <v>386</v>
      </c>
    </row>
    <row r="25">
      <c r="A25" s="6" t="s">
        <v>387</v>
      </c>
    </row>
    <row r="26">
      <c r="A26" s="6" t="s">
        <v>388</v>
      </c>
    </row>
    <row r="27">
      <c r="A27" s="6" t="s">
        <v>389</v>
      </c>
    </row>
    <row r="28">
      <c r="A28" s="6" t="s">
        <v>390</v>
      </c>
    </row>
    <row r="29">
      <c r="A29" s="6" t="s">
        <v>391</v>
      </c>
    </row>
    <row r="30">
      <c r="A30" s="6" t="s">
        <v>392</v>
      </c>
    </row>
    <row r="31">
      <c r="A31" s="6" t="s">
        <v>393</v>
      </c>
    </row>
    <row r="32">
      <c r="A32" s="6" t="s">
        <v>394</v>
      </c>
    </row>
    <row r="33">
      <c r="A33" s="6" t="s">
        <v>395</v>
      </c>
    </row>
    <row r="34">
      <c r="A34" s="6" t="s">
        <v>396</v>
      </c>
    </row>
    <row r="35">
      <c r="A35" s="6" t="s">
        <v>397</v>
      </c>
    </row>
    <row r="36">
      <c r="A36" s="6" t="s">
        <v>398</v>
      </c>
    </row>
    <row r="37">
      <c r="A37" s="6" t="s">
        <v>399</v>
      </c>
    </row>
    <row r="38">
      <c r="A38" s="6" t="s">
        <v>400</v>
      </c>
    </row>
    <row r="39">
      <c r="A39" s="6" t="s">
        <v>401</v>
      </c>
    </row>
    <row r="40">
      <c r="A40" s="6" t="s">
        <v>402</v>
      </c>
    </row>
    <row r="41">
      <c r="A41" s="6" t="s">
        <v>403</v>
      </c>
    </row>
    <row r="42">
      <c r="A42" s="6" t="s">
        <v>404</v>
      </c>
    </row>
    <row r="43">
      <c r="A43" s="6" t="s">
        <v>405</v>
      </c>
    </row>
    <row r="44">
      <c r="A44" s="6" t="s">
        <v>406</v>
      </c>
    </row>
    <row r="45">
      <c r="A45" s="6" t="s">
        <v>407</v>
      </c>
    </row>
    <row r="46">
      <c r="A46" s="6" t="s">
        <v>408</v>
      </c>
    </row>
    <row r="47">
      <c r="A47" s="6" t="s">
        <v>409</v>
      </c>
    </row>
    <row r="48">
      <c r="A48" s="6" t="s">
        <v>410</v>
      </c>
    </row>
    <row r="49">
      <c r="A49" s="6" t="s">
        <v>411</v>
      </c>
    </row>
    <row r="50">
      <c r="A50" s="6" t="s">
        <v>412</v>
      </c>
    </row>
    <row r="51">
      <c r="A51" s="6" t="s">
        <v>413</v>
      </c>
    </row>
    <row r="52">
      <c r="A52" s="6" t="s">
        <v>414</v>
      </c>
    </row>
    <row r="53">
      <c r="A53" s="6" t="s">
        <v>416</v>
      </c>
    </row>
    <row r="54">
      <c r="A54" s="6" t="s">
        <v>417</v>
      </c>
    </row>
    <row r="55">
      <c r="A55" s="6" t="s">
        <v>418</v>
      </c>
    </row>
    <row r="56">
      <c r="A56" s="6" t="s">
        <v>419</v>
      </c>
    </row>
    <row r="57">
      <c r="A57" s="6" t="s">
        <v>420</v>
      </c>
    </row>
    <row r="58">
      <c r="A58" s="6" t="s">
        <v>421</v>
      </c>
    </row>
    <row r="59">
      <c r="A59" s="6" t="s">
        <v>422</v>
      </c>
    </row>
    <row r="60">
      <c r="A60" s="6" t="s">
        <v>423</v>
      </c>
    </row>
    <row r="61">
      <c r="A61" s="6" t="s">
        <v>424</v>
      </c>
    </row>
    <row r="62">
      <c r="A62" s="6" t="s">
        <v>425</v>
      </c>
    </row>
    <row r="63">
      <c r="A63" s="6" t="s">
        <v>426</v>
      </c>
    </row>
    <row r="64">
      <c r="A64" s="6" t="s">
        <v>427</v>
      </c>
    </row>
    <row r="65">
      <c r="A65" s="6" t="s">
        <v>429</v>
      </c>
    </row>
    <row r="66">
      <c r="A66" s="6" t="s">
        <v>430</v>
      </c>
    </row>
    <row r="67">
      <c r="A67" s="6" t="s">
        <v>431</v>
      </c>
    </row>
    <row r="68">
      <c r="A68" s="6" t="s">
        <v>432</v>
      </c>
    </row>
    <row r="69">
      <c r="A69" s="6" t="s">
        <v>433</v>
      </c>
    </row>
    <row r="70">
      <c r="A70" s="6" t="s">
        <v>434</v>
      </c>
    </row>
    <row r="71">
      <c r="A71" s="6" t="s">
        <v>435</v>
      </c>
    </row>
    <row r="72">
      <c r="A72" s="6" t="s">
        <v>436</v>
      </c>
    </row>
    <row r="73">
      <c r="A73" s="6" t="s">
        <v>437</v>
      </c>
    </row>
    <row r="74">
      <c r="A74" s="6" t="s">
        <v>438</v>
      </c>
    </row>
    <row r="75">
      <c r="A75" s="6" t="s">
        <v>439</v>
      </c>
    </row>
    <row r="76">
      <c r="A76" s="6" t="s">
        <v>440</v>
      </c>
    </row>
    <row r="77">
      <c r="A77" s="6" t="s">
        <v>441</v>
      </c>
    </row>
    <row r="78">
      <c r="A78" s="6" t="s">
        <v>442</v>
      </c>
    </row>
    <row r="79">
      <c r="A79" s="6" t="s">
        <v>443</v>
      </c>
    </row>
    <row r="80">
      <c r="A80" s="6" t="s">
        <v>444</v>
      </c>
    </row>
    <row r="81">
      <c r="A81" s="6" t="s">
        <v>445</v>
      </c>
    </row>
  </sheetData>
  <drawing r:id="rId1"/>
</worksheet>
</file>