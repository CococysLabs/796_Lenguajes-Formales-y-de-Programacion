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OTTO_RODRIGUEZ" sheetId="1" r:id="rId4"/>
    <sheet state="visible" name="Docente_VIVIAN_CAMPOS" sheetId="2" r:id="rId5"/>
    <sheet state="visible" name="Docente_DAVID_MORALES" sheetId="3" r:id="rId6"/>
    <sheet state="visible" name="Docente_ZULMA_AGUIRRE" sheetId="4" r:id="rId7"/>
    <sheet state="visible" name="CoordinadorAcademico_LUIS_ESPIN" sheetId="5" r:id="rId8"/>
    <sheet state="hidden" name="Metadata" sheetId="6" r:id="rId9"/>
  </sheets>
  <definedNames/>
  <calcPr/>
  <extLst>
    <ext uri="GoogleSheetsCustomDataVersion2">
      <go:sheetsCustomData xmlns:go="http://customooxmlschemas.google.com/" r:id="rId10" roundtripDataChecksum="qcn4lCnEaWMfYo226h9Am7ct44simQTFJsKrQrst0dY="/>
    </ext>
  </extLst>
</workbook>
</file>

<file path=xl/sharedStrings.xml><?xml version="1.0" encoding="utf-8"?>
<sst xmlns="http://schemas.openxmlformats.org/spreadsheetml/2006/main" count="314" uniqueCount="133">
  <si>
    <t>Criterios y Expectativas del Docente para el Segundo Semestre 2026</t>
  </si>
  <si>
    <t>Nombre del Curso</t>
  </si>
  <si>
    <t>Lenguajes Formales y de Programación</t>
  </si>
  <si>
    <t>Docente</t>
  </si>
  <si>
    <t>1. Criterios Tecnicos y Metodologicos</t>
  </si>
  <si>
    <t>En esta sección se busca recopilar información clave sobre los elementos técnicos y metodológicos que el laboratorio debe incluir.</t>
  </si>
  <si>
    <t>1.1 Tecnologias y Herramientas</t>
  </si>
  <si>
    <t xml:space="preserve">¿Qué tecnologías, lenguajes de programación, plataformas, hardware o software considera indispensable incluir en el laboratorio? </t>
  </si>
  <si>
    <t>Numero</t>
  </si>
  <si>
    <t>Clasificación</t>
  </si>
  <si>
    <t>Detalle</t>
  </si>
  <si>
    <t>Otros</t>
  </si>
  <si>
    <t>Mencione alguna herramienta o simulador que recomendaría incluir. ¿En qué parte del curso se aplicaría y por qué sería útil para el estudiante?</t>
  </si>
  <si>
    <t>1.2 Actividades de Autoaprendizaje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</si>
  <si>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</si>
  <si>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>Tipo de Actividad</t>
  </si>
  <si>
    <t>Ponderacion</t>
  </si>
  <si>
    <t>Cantidad de Actividades</t>
  </si>
  <si>
    <t>Aspectos clave que debe abordar</t>
  </si>
  <si>
    <t>Valor Maximo Recomendado</t>
  </si>
  <si>
    <t>Actividades durante el peridodo de laboratorio</t>
  </si>
  <si>
    <t>Proyectos</t>
  </si>
  <si>
    <t>Prácticas</t>
  </si>
  <si>
    <t>Tareas</t>
  </si>
  <si>
    <t>Total de Punteo Asignado</t>
  </si>
  <si>
    <t>Validacion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</si>
  <si>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</si>
  <si>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</si>
  <si>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</si>
  <si>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¿Qué funciones, actitudes o conocimientos espera que tenga el tutor para contribuir a una experiencia formativa efectiva en el laboratorio?</t>
  </si>
  <si>
    <t>En su opinion, ¿qué competencia especifica debería desarrollar el estudiante a través del laboratorio para contribuir a su formación profesional?</t>
  </si>
  <si>
    <t>Verbo en Presente</t>
  </si>
  <si>
    <t>Objeto de la acción</t>
  </si>
  <si>
    <t>[Palabras conectoreas] ,  Herramientas, Frameworks o metodología</t>
  </si>
  <si>
    <t>[Palabras conectoreas] Condiciones específicas</t>
  </si>
  <si>
    <t>....</t>
  </si>
  <si>
    <t>Ejemplos. https://drive.google.com/drive/folders/1szLcpzkwozPD6nD4uuaiZQ3mmDRuVKVy?usp=sharing</t>
  </si>
  <si>
    <t>Nota:</t>
  </si>
  <si>
    <t>DC = Docente</t>
  </si>
  <si>
    <t>CA = Coordinador Academico</t>
  </si>
  <si>
    <t>Herramientas de Desarrollo</t>
  </si>
  <si>
    <t xml:space="preserve">Lenguaje de Programación | Python | Librería | Pandas </t>
  </si>
  <si>
    <t>Lenguajes de alto nivel (Python, Java o C#) que permitan el manejo de estructuras de datos para autómatas y gramáticas.</t>
  </si>
  <si>
    <t>Graphviz</t>
  </si>
  <si>
    <t>Entornos de desarrollo compatibles con la manipulación de flujos de texto y manejo de búferes.</t>
  </si>
  <si>
    <t>Resolución de ejercicios de lenguajes regulares y libres del contexto.</t>
  </si>
  <si>
    <t>Construcción completa de un analizador léxico y uno sintáctico.</t>
  </si>
  <si>
    <t>Implementación de algoritmo con el lenguaje elegido, para familiarizarse con el lenguaje y los conceptos básicos del curso.</t>
  </si>
  <si>
    <t>Ejercicios de lenguajes regulares y libres del contexto.</t>
  </si>
  <si>
    <t>El laboratorio materializa la teoría abstracta mediante la programación. Al construir los analizadores de forma manual, el estudiante comprende la lógica interna del consumo de tokens y el manejo de pilas, reforzando la transición de modelos matemáticos (autómatas/gramáticas) a algoritmos funcionales y eficientes.</t>
  </si>
  <si>
    <t>Se requiere un tutor con dominio avanzado en algoritmos de teoría de la computación. Debe mantener una actitud de guía crítico que oriente en la resolución lógica de gramáticas y el control de errores, sin permitir el uso de herramientas automatizadas.</t>
  </si>
  <si>
    <t>Construye</t>
  </si>
  <si>
    <t xml:space="preserve"> algoritmos de reconocimiento de lenguajes</t>
  </si>
  <si>
    <t xml:space="preserve"> mediante la codificación manual de analizadores léxicos y sintácticos </t>
  </si>
  <si>
    <t>bajo los estándares de la jerarquía de Chomsky y optimización de memoria.</t>
  </si>
  <si>
    <t>Unificación de Criterios y Expectativas por el Coordinador Academico para el Segundo Semestre 2026</t>
  </si>
  <si>
    <t>Coordinador</t>
  </si>
  <si>
    <t>LUIS FERNANDO ESPINO BARRIOS</t>
  </si>
  <si>
    <t>Tipo_A</t>
  </si>
  <si>
    <t>Detalle_A</t>
  </si>
  <si>
    <t>Tipo_B</t>
  </si>
  <si>
    <t>Detalle_B</t>
  </si>
  <si>
    <t>Tipo_C</t>
  </si>
  <si>
    <t>Detalle_C</t>
  </si>
  <si>
    <t>Desarrollo Backend</t>
  </si>
  <si>
    <t xml:space="preserve">Lenguaje de Programación | Python | Framework | Flask </t>
  </si>
  <si>
    <t>Gestion</t>
  </si>
  <si>
    <t>Herramienta | Microsoft Project | Tipo | Planificación</t>
  </si>
  <si>
    <t>Con base a la recopilacion de informacion esto elementos son los que se imparten en los laboratorios</t>
  </si>
  <si>
    <t>Herramienta | Project Libre | Tipo | Planificación</t>
  </si>
  <si>
    <t xml:space="preserve">Lenguaje de Programación | Java | Framework | Spring Boot </t>
  </si>
  <si>
    <t>Herramienta | Miro | Tipo | Colaboración</t>
  </si>
  <si>
    <t xml:space="preserve">Lenguaje de Programación | Node.js | Framework | — </t>
  </si>
  <si>
    <t>Herramienta | Draw.io | Tipo | Diagramación</t>
  </si>
  <si>
    <t xml:space="preserve">Lenguaje de Programación | Go (Golang) | Framework | — </t>
  </si>
  <si>
    <t>Metodología</t>
  </si>
  <si>
    <t>Metodología | Scrum | Herramienta | Jira</t>
  </si>
  <si>
    <t xml:space="preserve">Lenguaje de Programación | PHP | Framework | — </t>
  </si>
  <si>
    <t>Metodología | kanban | Herramienta | trello</t>
  </si>
  <si>
    <t>Desarrollo Frontend / Aplicaciones</t>
  </si>
  <si>
    <t xml:space="preserve">Lenguaje de Programación | JavaScript | Framework | React </t>
  </si>
  <si>
    <t>Simulación / Ingeniería</t>
  </si>
  <si>
    <t>Simulador | Packet Tracer | Herramienta | —</t>
  </si>
  <si>
    <t xml:space="preserve">Lenguaje de Programación | JavaScript | Framework | Vue.js </t>
  </si>
  <si>
    <t>Simulador | SIMIO | Herramienta | —</t>
  </si>
  <si>
    <t xml:space="preserve">Lenguaje de Programación | Dart | Framework | Flutter </t>
  </si>
  <si>
    <t>Simulador | Proteus | Hardware | Arduino</t>
  </si>
  <si>
    <t>Ciencia de Datos / Big Data</t>
  </si>
  <si>
    <t xml:space="preserve">Lenguaje de Programación | Python | Framework | PySpark </t>
  </si>
  <si>
    <t>Simulador | MATLAB | Complemento | Simulink</t>
  </si>
  <si>
    <t xml:space="preserve">Lenguaje de Programación | Scala | Framework | Apache Spark </t>
  </si>
  <si>
    <t>Simulador | QEMU | Arquitectura | AArch64</t>
  </si>
  <si>
    <t xml:space="preserve">Plataforma | Hadoop | Framework | — </t>
  </si>
  <si>
    <t>Simulador | VENSIM | Tipo | Modelado dinámico</t>
  </si>
  <si>
    <t>Bases de Datos</t>
  </si>
  <si>
    <t xml:space="preserve">Base de Datos | PostgreSQL | Herramienta | DBeaver </t>
  </si>
  <si>
    <t xml:space="preserve">Base de Datos | MySQL | Herramienta | DataGrip </t>
  </si>
  <si>
    <t>Base de Datos | SQL Server | Plataforma | SSMS</t>
  </si>
  <si>
    <t>Base de Datos | MongoDB | Herramienta | —</t>
  </si>
  <si>
    <t>Base de Datos | Redis | Herramienta | —</t>
  </si>
  <si>
    <t>Base de Datos | ValkeyDB | Motor | —</t>
  </si>
  <si>
    <t>Cloud / Infraestructura</t>
  </si>
  <si>
    <t xml:space="preserve">Plataforma | AWS EC2 | Contenedor | Docker </t>
  </si>
  <si>
    <t xml:space="preserve">Plataforma | AWS S3 | Servicio Cloud | — </t>
  </si>
  <si>
    <t>Plataforma | Google Cloud | Orquestación | Kubernetes</t>
  </si>
  <si>
    <t>Infraestructura | Docker | Orquestación | Kubernetes</t>
  </si>
  <si>
    <t>Infraestructura | Git | DevOps | CI/CD</t>
  </si>
  <si>
    <t>Plataforma | AWS Lambda | Servicio Cloud</t>
  </si>
  <si>
    <t>BI / Analítica</t>
  </si>
  <si>
    <t>Plataforma | Power BI | Lenguaje | DAX</t>
  </si>
  <si>
    <t>Plataforma | SSAS | Lenguaje | MDX</t>
  </si>
  <si>
    <t>Plataforma | BigQuery | Herramienta</t>
  </si>
  <si>
    <t>Herramienta | Grafana | Plataforma</t>
  </si>
  <si>
    <t>Plataforma | SSRS | Herramienta | —</t>
  </si>
  <si>
    <t>Plataforma | Pentaho | Tipo | ETL</t>
  </si>
  <si>
    <t>Plataforma | Talend | Tipo | ETL</t>
  </si>
  <si>
    <t>Hardware</t>
  </si>
  <si>
    <t>Hardware | Raspberry Pi | Lenguaje | Python</t>
  </si>
  <si>
    <t>Hardware | Arduino | Lenguaje | C/C++</t>
  </si>
  <si>
    <t>Herramienta | VS Code | Tipo | IDE</t>
  </si>
  <si>
    <t>Herramienta | Postman | Tipo | Testing API</t>
  </si>
  <si>
    <t>Herramienta | Locust | Tipo | Testing de carga</t>
  </si>
  <si>
    <t>Lenguaje de Programación | Pseudocódigo | — | —</t>
  </si>
  <si>
    <t>Lenguaje de Programación | C# | Framework | .NET</t>
  </si>
  <si>
    <t>Lenguaje de Programación | Prolog | — | —</t>
  </si>
  <si>
    <t>Lenguaje de Programación | Bash | — | —</t>
  </si>
  <si>
    <t>Generadores de Parser</t>
  </si>
  <si>
    <t>Herramienta | CUP | Tipo | Parser Generator</t>
  </si>
  <si>
    <t>Herramienta | JFlex | Tipo | Generador de Parser</t>
  </si>
  <si>
    <t>Herramienta | Bison | Tipo | Parser</t>
  </si>
  <si>
    <t>Herramienta | ANTLR | Tipo | Generador de Parser</t>
  </si>
  <si>
    <t>Herramienta | Jison | Tipo | Parser Generator</t>
  </si>
  <si>
    <t>Herramienta | LIME Parser Generator | Tipo | Parser Generator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</si>
</sst>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15">
    <font>
      <sz val="10.0"/>
      <color rgb="FF000000"/>
      <name val="Arial"/>
      <scheme val="minor"/>
    </font>
    <font>
      <b/>
      <sz val="12.0"/>
      <color rgb="FFFF6D01"/>
      <name val="Arial"/>
    </font>
    <font>
      <b/>
      <sz val="12.0"/>
      <color theme="1"/>
      <name val="Arial"/>
    </font>
    <font>
      <color theme="1"/>
      <name val="Arial"/>
      <scheme val="minor"/>
    </font>
    <font>
      <b/>
      <sz val="12.0"/>
      <color theme="4"/>
      <name val="Arial"/>
    </font>
    <font>
      <color rgb="FF666666"/>
      <name val="Arial"/>
    </font>
    <font>
      <b/>
      <color theme="4"/>
      <name val="Arial"/>
    </font>
    <font>
      <color theme="1"/>
      <name val="Arial"/>
    </font>
    <font/>
    <font>
      <b/>
      <color theme="1"/>
      <name val="Arial"/>
    </font>
    <font>
      <sz val="12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>
      <color rgb="FFB7B7B7"/>
      <name val="Arial"/>
    </font>
    <font>
      <b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20">
    <border/>
    <border>
      <left style="double">
        <color rgb="FF434343"/>
      </left>
      <top style="double">
        <color rgb="FF434343"/>
      </top>
    </border>
    <border>
      <top style="double">
        <color rgb="FF434343"/>
      </top>
    </border>
    <border>
      <right style="double">
        <color rgb="FF434343"/>
      </right>
      <top style="double">
        <color rgb="FF43434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434343"/>
      </left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top style="double">
        <color rgb="FF434343"/>
      </top>
      <bottom style="double">
        <color rgb="FF434343"/>
      </bottom>
    </border>
    <border>
      <top style="double">
        <color rgb="FF434343"/>
      </top>
      <bottom style="double">
        <color rgb="FF434343"/>
      </bottom>
    </border>
    <border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uble">
        <color rgb="FF434343"/>
      </left>
      <bottom style="double">
        <color rgb="FF434343"/>
      </bottom>
    </border>
    <border>
      <bottom style="double">
        <color rgb="FF434343"/>
      </bottom>
    </border>
    <border>
      <right style="double">
        <color rgb="FF434343"/>
      </right>
      <bottom style="double">
        <color rgb="FF434343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shrinkToFit="0" wrapText="1"/>
    </xf>
    <xf borderId="0" fillId="0" fontId="6" numFmtId="0" xfId="0" applyFont="1"/>
    <xf borderId="1" fillId="2" fontId="7" numFmtId="0" xfId="0" applyAlignment="1" applyBorder="1" applyFill="1" applyFont="1">
      <alignment shrinkToFit="0" wrapText="1"/>
    </xf>
    <xf borderId="2" fillId="0" fontId="8" numFmtId="0" xfId="0" applyBorder="1" applyFont="1"/>
    <xf borderId="3" fillId="0" fontId="8" numFmtId="0" xfId="0" applyBorder="1" applyFont="1"/>
    <xf borderId="4" fillId="0" fontId="9" numFmtId="0" xfId="0" applyAlignment="1" applyBorder="1" applyFont="1">
      <alignment horizontal="center" shrinkToFit="0" wrapText="1"/>
    </xf>
    <xf borderId="5" fillId="0" fontId="9" numFmtId="0" xfId="0" applyAlignment="1" applyBorder="1" applyFont="1">
      <alignment horizontal="center" shrinkToFit="0" wrapText="1"/>
    </xf>
    <xf borderId="6" fillId="0" fontId="8" numFmtId="0" xfId="0" applyBorder="1" applyFont="1"/>
    <xf borderId="7" fillId="0" fontId="8" numFmtId="0" xfId="0" applyBorder="1" applyFont="1"/>
    <xf borderId="4" fillId="0" fontId="7" numFmtId="0" xfId="0" applyBorder="1" applyFont="1"/>
    <xf borderId="5" fillId="0" fontId="7" numFmtId="0" xfId="0" applyBorder="1" applyFont="1"/>
    <xf borderId="4" fillId="0" fontId="9" numFmtId="0" xfId="0" applyAlignment="1" applyBorder="1" applyFont="1">
      <alignment horizontal="center"/>
    </xf>
    <xf borderId="5" fillId="0" fontId="9" numFmtId="0" xfId="0" applyAlignment="1" applyBorder="1" applyFont="1">
      <alignment horizontal="center"/>
    </xf>
    <xf borderId="0" fillId="0" fontId="7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8" fillId="3" fontId="2" numFmtId="0" xfId="0" applyAlignment="1" applyBorder="1" applyFill="1" applyFont="1">
      <alignment shrinkToFit="0" wrapText="1"/>
    </xf>
    <xf borderId="9" fillId="3" fontId="2" numFmtId="0" xfId="0" applyAlignment="1" applyBorder="1" applyFont="1">
      <alignment shrinkToFit="0" wrapText="1"/>
    </xf>
    <xf borderId="10" fillId="0" fontId="8" numFmtId="0" xfId="0" applyBorder="1" applyFont="1"/>
    <xf borderId="11" fillId="0" fontId="8" numFmtId="0" xfId="0" applyBorder="1" applyFont="1"/>
    <xf borderId="0" fillId="2" fontId="7" numFmtId="0" xfId="0" applyAlignment="1" applyFont="1">
      <alignment shrinkToFit="0" wrapText="1"/>
    </xf>
    <xf borderId="8" fillId="0" fontId="10" numFmtId="0" xfId="0" applyAlignment="1" applyBorder="1" applyFont="1">
      <alignment shrinkToFit="0" wrapText="1"/>
    </xf>
    <xf borderId="8" fillId="0" fontId="7" numFmtId="0" xfId="0" applyBorder="1" applyFont="1"/>
    <xf borderId="9" fillId="0" fontId="7" numFmtId="0" xfId="0" applyAlignment="1" applyBorder="1" applyFont="1">
      <alignment shrinkToFit="0" wrapText="1"/>
    </xf>
    <xf borderId="0" fillId="2" fontId="7" numFmtId="0" xfId="0" applyFont="1"/>
    <xf borderId="8" fillId="0" fontId="10" numFmtId="0" xfId="0" applyBorder="1" applyFont="1"/>
    <xf borderId="12" fillId="0" fontId="10" numFmtId="0" xfId="0" applyBorder="1" applyFont="1"/>
    <xf borderId="12" fillId="0" fontId="7" numFmtId="0" xfId="0" applyBorder="1" applyFont="1"/>
    <xf borderId="1" fillId="0" fontId="7" numFmtId="0" xfId="0" applyAlignment="1" applyBorder="1" applyFont="1">
      <alignment shrinkToFit="0" wrapText="1"/>
    </xf>
    <xf borderId="4" fillId="4" fontId="2" numFmtId="0" xfId="0" applyAlignment="1" applyBorder="1" applyFill="1" applyFont="1">
      <alignment shrinkToFit="0" wrapText="1"/>
    </xf>
    <xf borderId="4" fillId="4" fontId="7" numFmtId="0" xfId="0" applyBorder="1" applyFont="1"/>
    <xf borderId="13" fillId="5" fontId="2" numFmtId="0" xfId="0" applyAlignment="1" applyBorder="1" applyFill="1" applyFont="1">
      <alignment shrinkToFit="0" wrapText="1"/>
    </xf>
    <xf borderId="14" fillId="5" fontId="7" numFmtId="0" xfId="0" applyAlignment="1" applyBorder="1" applyFont="1">
      <alignment shrinkToFit="0" wrapText="1"/>
    </xf>
    <xf borderId="15" fillId="0" fontId="8" numFmtId="0" xfId="0" applyBorder="1" applyFont="1"/>
    <xf borderId="16" fillId="0" fontId="8" numFmtId="0" xfId="0" applyBorder="1" applyFont="1"/>
    <xf borderId="9" fillId="2" fontId="7" numFmtId="0" xfId="0" applyAlignment="1" applyBorder="1" applyFont="1">
      <alignment shrinkToFit="0" wrapText="1"/>
    </xf>
    <xf borderId="1" fillId="0" fontId="7" numFmtId="0" xfId="0" applyBorder="1" applyFont="1"/>
    <xf borderId="17" fillId="0" fontId="8" numFmtId="0" xfId="0" applyBorder="1" applyFont="1"/>
    <xf borderId="18" fillId="0" fontId="8" numFmtId="0" xfId="0" applyBorder="1" applyFont="1"/>
    <xf borderId="19" fillId="0" fontId="8" numFmtId="0" xfId="0" applyBorder="1" applyFont="1"/>
    <xf borderId="5" fillId="2" fontId="11" numFmtId="0" xfId="0" applyAlignment="1" applyBorder="1" applyFont="1">
      <alignment horizontal="left" vertical="bottom"/>
    </xf>
    <xf borderId="4" fillId="6" fontId="12" numFmtId="0" xfId="0" applyAlignment="1" applyBorder="1" applyFill="1" applyFont="1">
      <alignment horizontal="center" vertical="bottom"/>
    </xf>
    <xf borderId="5" fillId="6" fontId="12" numFmtId="0" xfId="0" applyAlignment="1" applyBorder="1" applyFont="1">
      <alignment horizontal="center" vertical="bottom"/>
    </xf>
    <xf borderId="4" fillId="6" fontId="12" numFmtId="0" xfId="0" applyAlignment="1" applyBorder="1" applyFont="1">
      <alignment horizontal="center" shrinkToFit="0" vertical="bottom" wrapText="1"/>
    </xf>
    <xf borderId="5" fillId="6" fontId="12" numFmtId="0" xfId="0" applyAlignment="1" applyBorder="1" applyFont="1">
      <alignment horizontal="center" shrinkToFit="0" vertical="bottom" wrapText="1"/>
    </xf>
    <xf borderId="4" fillId="7" fontId="7" numFmtId="0" xfId="0" applyAlignment="1" applyBorder="1" applyFill="1" applyFont="1">
      <alignment shrinkToFit="0" vertical="bottom" wrapText="1"/>
    </xf>
    <xf borderId="5" fillId="8" fontId="7" numFmtId="0" xfId="0" applyAlignment="1" applyBorder="1" applyFill="1" applyFont="1">
      <alignment shrinkToFit="0" vertical="bottom" wrapText="1"/>
    </xf>
    <xf borderId="4" fillId="9" fontId="7" numFmtId="0" xfId="0" applyAlignment="1" applyBorder="1" applyFill="1" applyFont="1">
      <alignment shrinkToFit="0" vertical="bottom" wrapText="1"/>
    </xf>
    <xf borderId="5" fillId="10" fontId="7" numFmtId="0" xfId="0" applyAlignment="1" applyBorder="1" applyFill="1" applyFont="1">
      <alignment shrinkToFit="0" vertical="bottom" wrapText="1"/>
    </xf>
    <xf borderId="0" fillId="0" fontId="13" numFmtId="0" xfId="0" applyFont="1"/>
    <xf borderId="0" fillId="0" fontId="7" numFmtId="0" xfId="0" applyFont="1"/>
    <xf borderId="4" fillId="0" fontId="7" numFmtId="0" xfId="0" applyAlignment="1" applyBorder="1" applyFont="1">
      <alignment readingOrder="0"/>
    </xf>
    <xf borderId="5" fillId="0" fontId="7" numFmtId="0" xfId="0" applyAlignment="1" applyBorder="1" applyFont="1">
      <alignment readingOrder="0"/>
    </xf>
    <xf borderId="0" fillId="0" fontId="14" numFmtId="0" xfId="0" applyAlignment="1" applyFont="1">
      <alignment readingOrder="0"/>
    </xf>
    <xf borderId="8" fillId="0" fontId="7" numFmtId="0" xfId="0" applyAlignment="1" applyBorder="1" applyFont="1">
      <alignment readingOrder="0"/>
    </xf>
    <xf borderId="8" fillId="0" fontId="7" numFmtId="164" xfId="0" applyAlignment="1" applyBorder="1" applyFont="1" applyNumberFormat="1">
      <alignment readingOrder="0"/>
    </xf>
    <xf borderId="10" fillId="0" fontId="7" numFmtId="0" xfId="0" applyAlignment="1" applyBorder="1" applyFont="1">
      <alignment shrinkToFit="0" wrapText="1"/>
    </xf>
    <xf borderId="11" fillId="0" fontId="7" numFmtId="0" xfId="0" applyAlignment="1" applyBorder="1" applyFont="1">
      <alignment shrinkToFit="0" wrapText="1"/>
    </xf>
    <xf borderId="9" fillId="0" fontId="7" numFmtId="0" xfId="0" applyAlignment="1" applyBorder="1" applyFont="1">
      <alignment readingOrder="0" shrinkToFit="0" wrapText="1"/>
    </xf>
    <xf borderId="12" fillId="0" fontId="7" numFmtId="0" xfId="0" applyAlignment="1" applyBorder="1" applyFont="1">
      <alignment readingOrder="0"/>
    </xf>
    <xf borderId="1" fillId="0" fontId="7" numFmtId="0" xfId="0" applyAlignment="1" applyBorder="1" applyFont="1">
      <alignment readingOrder="0" shrinkToFit="0" wrapText="1"/>
    </xf>
    <xf borderId="5" fillId="2" fontId="11" numFmtId="0" xfId="0" applyAlignment="1" applyBorder="1" applyFont="1">
      <alignment horizontal="left" shrinkToFit="0" vertical="bottom" wrapText="1"/>
    </xf>
    <xf borderId="5" fillId="8" fontId="7" numFmtId="0" xfId="0" applyAlignment="1" applyBorder="1" applyFont="1">
      <alignment readingOrder="0" shrinkToFit="0" vertical="bottom" wrapText="1"/>
    </xf>
    <xf borderId="4" fillId="9" fontId="7" numFmtId="0" xfId="0" applyAlignment="1" applyBorder="1" applyFont="1">
      <alignment readingOrder="0" shrinkToFit="0" vertical="bottom" wrapText="1"/>
    </xf>
    <xf borderId="5" fillId="10" fontId="7" numFmtId="0" xfId="0" applyAlignment="1" applyBorder="1" applyFont="1">
      <alignment readingOrder="0" shrinkToFit="0" vertical="bottom" wrapText="1"/>
    </xf>
    <xf borderId="0" fillId="0" fontId="1" numFmtId="0" xfId="0" applyAlignment="1" applyFont="1">
      <alignment horizontal="center" shrinkToFit="0" wrapText="1"/>
    </xf>
    <xf borderId="0" fillId="2" fontId="9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0</xdr:row>
      <xdr:rowOff>133350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1.5"/>
    <col customWidth="1" min="3" max="3" width="22.25"/>
  </cols>
  <sheetData>
    <row r="1" ht="15.75" customHeight="1">
      <c r="B1" s="1" t="s">
        <v>0</v>
      </c>
    </row>
    <row r="2" ht="15.75" customHeight="1">
      <c r="B2" s="2"/>
    </row>
    <row r="3" ht="15.75" customHeight="1">
      <c r="B3" s="2" t="s">
        <v>1</v>
      </c>
      <c r="C3" s="3" t="s">
        <v>2</v>
      </c>
    </row>
    <row r="4" ht="15.75" customHeight="1">
      <c r="B4" s="2" t="s">
        <v>3</v>
      </c>
      <c r="C4" s="4" t="str">
        <f>IFERROR(__xludf.DUMMYFUNCTION("INDEX(
  QUERY(
    IMPORTRANGE(
      ""https://docs.google.com/spreadsheets/d/1AFhV6Vh7F_G-ORVC4UZonzt2v-_Ai8MzAwx5ONHj36Y/edit?gid=0#gid=0"",
      ""BD!A:J""
    ),
    ""select Col5 where Col8 = 'Docente' and Col3 = '"" &amp; C3 &amp; ""'"",
    0
  ),
  1
)"),"#REF!")</f>
        <v>#REF!</v>
      </c>
    </row>
    <row r="5" ht="15.75" customHeight="1"/>
    <row r="6" ht="15.75" customHeight="1">
      <c r="B6" s="5" t="s">
        <v>4</v>
      </c>
    </row>
    <row r="7" ht="15.75" customHeight="1">
      <c r="B7" s="6" t="s">
        <v>5</v>
      </c>
    </row>
    <row r="8" ht="15.75" customHeight="1"/>
    <row r="9" ht="15.75" customHeight="1">
      <c r="B9" s="7" t="s">
        <v>6</v>
      </c>
    </row>
    <row r="10" ht="15.75" customHeight="1"/>
    <row r="11" ht="15.75" customHeight="1">
      <c r="B11" s="8" t="s">
        <v>7</v>
      </c>
      <c r="C11" s="9"/>
      <c r="D11" s="9"/>
      <c r="E11" s="9"/>
      <c r="F11" s="9"/>
      <c r="G11" s="10"/>
    </row>
    <row r="12" ht="15.75" customHeight="1">
      <c r="B12" s="11" t="s">
        <v>8</v>
      </c>
      <c r="C12" s="11" t="s">
        <v>9</v>
      </c>
      <c r="D12" s="12" t="s">
        <v>10</v>
      </c>
      <c r="E12" s="13"/>
      <c r="F12" s="13"/>
      <c r="G12" s="14"/>
    </row>
    <row r="13" ht="15.75" customHeight="1">
      <c r="B13" s="15">
        <v>1.0</v>
      </c>
      <c r="C13" s="15"/>
      <c r="D13" s="16"/>
      <c r="E13" s="13"/>
      <c r="F13" s="13"/>
      <c r="G13" s="14"/>
    </row>
    <row r="14" ht="15.75" customHeight="1">
      <c r="B14" s="15">
        <v>2.0</v>
      </c>
      <c r="C14" s="15"/>
      <c r="D14" s="16"/>
      <c r="E14" s="13"/>
      <c r="F14" s="13"/>
      <c r="G14" s="14"/>
    </row>
    <row r="15" ht="29.25" customHeight="1">
      <c r="B15" s="15">
        <v>3.0</v>
      </c>
      <c r="C15" s="15" t="s">
        <v>11</v>
      </c>
      <c r="D15" s="16"/>
      <c r="E15" s="13"/>
      <c r="F15" s="13"/>
      <c r="G15" s="14"/>
    </row>
    <row r="16" ht="15.75" customHeight="1"/>
    <row r="17" ht="33.0" customHeight="1">
      <c r="B17" s="8" t="s">
        <v>12</v>
      </c>
      <c r="C17" s="9"/>
      <c r="D17" s="9"/>
      <c r="E17" s="9"/>
      <c r="F17" s="9"/>
      <c r="G17" s="10"/>
    </row>
    <row r="18" ht="15.75" customHeight="1">
      <c r="B18" s="17" t="s">
        <v>8</v>
      </c>
      <c r="C18" s="17" t="s">
        <v>9</v>
      </c>
      <c r="D18" s="18" t="s">
        <v>10</v>
      </c>
      <c r="E18" s="13"/>
      <c r="F18" s="13"/>
      <c r="G18" s="14"/>
    </row>
    <row r="19" ht="15.75" customHeight="1">
      <c r="B19" s="15">
        <v>1.0</v>
      </c>
      <c r="C19" s="15"/>
      <c r="D19" s="16"/>
      <c r="E19" s="13"/>
      <c r="F19" s="13"/>
      <c r="G19" s="14"/>
    </row>
    <row r="20" ht="15.75" customHeight="1">
      <c r="B20" s="15">
        <v>2.0</v>
      </c>
      <c r="C20" s="15"/>
      <c r="D20" s="16"/>
      <c r="E20" s="13"/>
      <c r="F20" s="13"/>
      <c r="G20" s="14"/>
    </row>
    <row r="21" ht="15.75" customHeight="1">
      <c r="B21" s="15">
        <v>3.0</v>
      </c>
      <c r="C21" s="15" t="s">
        <v>11</v>
      </c>
      <c r="D21" s="16"/>
      <c r="E21" s="13"/>
      <c r="F21" s="13"/>
      <c r="G21" s="14"/>
    </row>
    <row r="22" ht="15.75" customHeight="1"/>
    <row r="23" ht="15.75" customHeight="1">
      <c r="B23" s="7" t="s">
        <v>13</v>
      </c>
    </row>
    <row r="24" ht="15.75" customHeight="1">
      <c r="B24" s="6" t="s">
        <v>14</v>
      </c>
    </row>
    <row r="25" ht="15.75" customHeight="1">
      <c r="A25" s="19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15.75" customHeight="1">
      <c r="A26" s="19"/>
      <c r="B26" s="21" t="s">
        <v>15</v>
      </c>
      <c r="C26" s="21" t="s">
        <v>16</v>
      </c>
      <c r="D26" s="21" t="s">
        <v>17</v>
      </c>
      <c r="E26" s="22" t="s">
        <v>18</v>
      </c>
      <c r="F26" s="23"/>
      <c r="G26" s="24"/>
      <c r="H26" s="25" t="s">
        <v>19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15.75" customHeight="1">
      <c r="B27" s="26" t="s">
        <v>20</v>
      </c>
      <c r="C27" s="27">
        <v>0.0</v>
      </c>
      <c r="D27" s="27"/>
      <c r="E27" s="28"/>
      <c r="F27" s="23"/>
      <c r="G27" s="24"/>
      <c r="H27" s="29">
        <v>10.0</v>
      </c>
    </row>
    <row r="28" ht="45.0" customHeight="1">
      <c r="B28" s="30" t="s">
        <v>21</v>
      </c>
      <c r="C28" s="27">
        <v>0.0</v>
      </c>
      <c r="D28" s="27"/>
      <c r="E28" s="28"/>
      <c r="F28" s="23"/>
      <c r="G28" s="24"/>
      <c r="H28" s="29">
        <v>60.0</v>
      </c>
    </row>
    <row r="29" ht="36.75" customHeight="1">
      <c r="B29" s="30" t="s">
        <v>22</v>
      </c>
      <c r="C29" s="27">
        <v>0.0</v>
      </c>
      <c r="D29" s="27"/>
      <c r="E29" s="28"/>
      <c r="F29" s="23"/>
      <c r="G29" s="24"/>
      <c r="H29" s="29">
        <v>20.0</v>
      </c>
    </row>
    <row r="30" ht="36.0" customHeight="1">
      <c r="B30" s="31" t="s">
        <v>23</v>
      </c>
      <c r="C30" s="32">
        <v>0.0</v>
      </c>
      <c r="D30" s="27"/>
      <c r="E30" s="33"/>
      <c r="F30" s="9"/>
      <c r="G30" s="10"/>
      <c r="H30" s="29">
        <v>10.0</v>
      </c>
    </row>
    <row r="31" ht="15.75" customHeight="1">
      <c r="B31" s="34" t="s">
        <v>24</v>
      </c>
      <c r="C31" s="35">
        <f>SUM(C27:C30)</f>
        <v>0</v>
      </c>
      <c r="E31" s="36" t="s">
        <v>25</v>
      </c>
      <c r="F31" s="37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38"/>
      <c r="H31" s="39"/>
    </row>
    <row r="32" ht="15.75" customHeight="1">
      <c r="B32" s="2"/>
    </row>
    <row r="33" ht="15.75" customHeight="1">
      <c r="B33" s="5" t="s">
        <v>26</v>
      </c>
    </row>
    <row r="34" ht="15.75" customHeight="1">
      <c r="B34" s="6" t="s">
        <v>27</v>
      </c>
    </row>
    <row r="35" ht="15.75" customHeight="1"/>
    <row r="36" ht="15.75" customHeight="1">
      <c r="B36" s="40" t="s">
        <v>28</v>
      </c>
      <c r="C36" s="23"/>
      <c r="D36" s="23"/>
      <c r="E36" s="23"/>
      <c r="F36" s="23"/>
      <c r="G36" s="24"/>
    </row>
    <row r="37" ht="15.75" customHeight="1">
      <c r="B37" s="41"/>
      <c r="C37" s="9"/>
      <c r="D37" s="9"/>
      <c r="E37" s="9"/>
      <c r="F37" s="9"/>
      <c r="G37" s="10"/>
    </row>
    <row r="38" ht="15.75" customHeight="1">
      <c r="B38" s="42"/>
      <c r="C38" s="43"/>
      <c r="D38" s="43"/>
      <c r="E38" s="43"/>
      <c r="F38" s="43"/>
      <c r="G38" s="44"/>
    </row>
    <row r="39" ht="15.75" customHeight="1"/>
    <row r="40" ht="15.75" customHeight="1">
      <c r="B40" s="40" t="s">
        <v>29</v>
      </c>
      <c r="C40" s="23"/>
      <c r="D40" s="23"/>
      <c r="E40" s="23"/>
      <c r="F40" s="23"/>
      <c r="G40" s="24"/>
    </row>
    <row r="41" ht="15.75" customHeight="1">
      <c r="B41" s="41"/>
      <c r="C41" s="9"/>
      <c r="D41" s="9"/>
      <c r="E41" s="9"/>
      <c r="F41" s="9"/>
      <c r="G41" s="10"/>
    </row>
    <row r="42" ht="15.75" customHeight="1">
      <c r="B42" s="42"/>
      <c r="C42" s="43"/>
      <c r="D42" s="43"/>
      <c r="E42" s="43"/>
      <c r="F42" s="43"/>
      <c r="G42" s="44"/>
    </row>
    <row r="43" ht="15.75" customHeight="1"/>
    <row r="44" ht="15.75" customHeight="1">
      <c r="B44" s="8" t="s">
        <v>30</v>
      </c>
      <c r="C44" s="9"/>
      <c r="D44" s="9"/>
      <c r="E44" s="9"/>
      <c r="F44" s="9"/>
      <c r="G44" s="10"/>
    </row>
    <row r="45" ht="15.75" customHeight="1">
      <c r="B45" s="41"/>
      <c r="C45" s="9"/>
      <c r="D45" s="9"/>
      <c r="E45" s="9"/>
      <c r="F45" s="9"/>
      <c r="G45" s="10"/>
    </row>
    <row r="46" ht="15.75" customHeight="1">
      <c r="B46" s="42"/>
      <c r="C46" s="43"/>
      <c r="D46" s="43"/>
      <c r="E46" s="43"/>
      <c r="F46" s="43"/>
      <c r="G46" s="44"/>
    </row>
    <row r="47" ht="15.75" customHeight="1">
      <c r="B47" s="45" t="str">
        <f>CONCATENATE("El Estudiante ",B49,C49,E49,F49)</f>
        <v>El Estudiante ....</v>
      </c>
      <c r="C47" s="13"/>
      <c r="D47" s="13"/>
      <c r="E47" s="13"/>
      <c r="F47" s="13"/>
      <c r="G47" s="14"/>
    </row>
    <row r="48" ht="15.75" customHeight="1">
      <c r="B48" s="46" t="s">
        <v>31</v>
      </c>
      <c r="C48" s="47" t="s">
        <v>32</v>
      </c>
      <c r="D48" s="14"/>
      <c r="E48" s="48" t="s">
        <v>33</v>
      </c>
      <c r="F48" s="49" t="s">
        <v>34</v>
      </c>
      <c r="G48" s="14"/>
    </row>
    <row r="49" ht="54.75" customHeight="1">
      <c r="A49" s="19"/>
      <c r="B49" s="50" t="s">
        <v>35</v>
      </c>
      <c r="C49" s="51"/>
      <c r="D49" s="14"/>
      <c r="E49" s="52"/>
      <c r="F49" s="53"/>
      <c r="G49" s="14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15.75" customHeight="1">
      <c r="B50" s="54" t="s">
        <v>36</v>
      </c>
    </row>
    <row r="51" ht="15.75" customHeight="1"/>
    <row r="52" ht="15.75" customHeight="1">
      <c r="B52" s="55" t="s">
        <v>37</v>
      </c>
    </row>
    <row r="53" ht="15.75" customHeight="1">
      <c r="B53" s="55" t="s">
        <v>38</v>
      </c>
    </row>
    <row r="54" ht="15.75" customHeight="1">
      <c r="B54" s="55" t="s">
        <v>39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</mergeCells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1.5"/>
    <col customWidth="1" min="3" max="3" width="22.25"/>
  </cols>
  <sheetData>
    <row r="1" ht="15.75" customHeight="1">
      <c r="B1" s="1" t="s">
        <v>0</v>
      </c>
    </row>
    <row r="2" ht="15.75" customHeight="1">
      <c r="B2" s="2"/>
    </row>
    <row r="3" ht="15.75" customHeight="1">
      <c r="B3" s="2" t="s">
        <v>1</v>
      </c>
      <c r="C3" s="3" t="s">
        <v>2</v>
      </c>
    </row>
    <row r="4" ht="15.75" customHeight="1">
      <c r="B4" s="2" t="s">
        <v>3</v>
      </c>
      <c r="C4" s="4" t="str">
        <f>IFERROR(__xludf.DUMMYFUNCTION("INDEX(
  QUERY(
    IMPORTRANGE(
      ""https://docs.google.com/spreadsheets/d/1AFhV6Vh7F_G-ORVC4UZonzt2v-_Ai8MzAwx5ONHj36Y/edit?gid=0#gid=0"",
      ""BD!A:J""
    ),
    ""select Col5 where Col8 = 'Docente' and Col3 = '"" &amp; C3 &amp; ""'"",
    0
  ),
  2
)"),"#REF!")</f>
        <v>#REF!</v>
      </c>
    </row>
    <row r="5" ht="15.75" customHeight="1"/>
    <row r="6" ht="15.75" customHeight="1">
      <c r="B6" s="5" t="s">
        <v>4</v>
      </c>
    </row>
    <row r="7" ht="15.75" customHeight="1">
      <c r="B7" s="6" t="s">
        <v>5</v>
      </c>
    </row>
    <row r="8" ht="15.75" customHeight="1"/>
    <row r="9" ht="15.75" customHeight="1">
      <c r="B9" s="7" t="s">
        <v>6</v>
      </c>
    </row>
    <row r="10" ht="15.75" customHeight="1"/>
    <row r="11" ht="15.75" customHeight="1">
      <c r="B11" s="8" t="s">
        <v>7</v>
      </c>
      <c r="C11" s="9"/>
      <c r="D11" s="9"/>
      <c r="E11" s="9"/>
      <c r="F11" s="9"/>
      <c r="G11" s="10"/>
    </row>
    <row r="12" ht="15.75" customHeight="1">
      <c r="B12" s="11" t="s">
        <v>8</v>
      </c>
      <c r="C12" s="11" t="s">
        <v>9</v>
      </c>
      <c r="D12" s="12" t="s">
        <v>10</v>
      </c>
      <c r="E12" s="13"/>
      <c r="F12" s="13"/>
      <c r="G12" s="14"/>
    </row>
    <row r="13" ht="15.75" customHeight="1">
      <c r="B13" s="15">
        <v>1.0</v>
      </c>
      <c r="C13" s="15"/>
      <c r="D13" s="16"/>
      <c r="E13" s="13"/>
      <c r="F13" s="13"/>
      <c r="G13" s="14"/>
    </row>
    <row r="14" ht="15.75" customHeight="1">
      <c r="B14" s="15">
        <v>2.0</v>
      </c>
      <c r="C14" s="15"/>
      <c r="D14" s="16"/>
      <c r="E14" s="13"/>
      <c r="F14" s="13"/>
      <c r="G14" s="14"/>
    </row>
    <row r="15" ht="29.25" customHeight="1">
      <c r="B15" s="15">
        <v>3.0</v>
      </c>
      <c r="C15" s="15" t="s">
        <v>11</v>
      </c>
      <c r="D15" s="16"/>
      <c r="E15" s="13"/>
      <c r="F15" s="13"/>
      <c r="G15" s="14"/>
    </row>
    <row r="16" ht="15.75" customHeight="1"/>
    <row r="17" ht="33.0" customHeight="1">
      <c r="B17" s="8" t="s">
        <v>12</v>
      </c>
      <c r="C17" s="9"/>
      <c r="D17" s="9"/>
      <c r="E17" s="9"/>
      <c r="F17" s="9"/>
      <c r="G17" s="10"/>
    </row>
    <row r="18" ht="15.75" customHeight="1">
      <c r="B18" s="17" t="s">
        <v>8</v>
      </c>
      <c r="C18" s="17" t="s">
        <v>9</v>
      </c>
      <c r="D18" s="18" t="s">
        <v>10</v>
      </c>
      <c r="E18" s="13"/>
      <c r="F18" s="13"/>
      <c r="G18" s="14"/>
    </row>
    <row r="19" ht="15.75" customHeight="1">
      <c r="B19" s="15">
        <v>1.0</v>
      </c>
      <c r="C19" s="15"/>
      <c r="D19" s="16"/>
      <c r="E19" s="13"/>
      <c r="F19" s="13"/>
      <c r="G19" s="14"/>
    </row>
    <row r="20" ht="15.75" customHeight="1">
      <c r="B20" s="15">
        <v>2.0</v>
      </c>
      <c r="C20" s="15"/>
      <c r="D20" s="16"/>
      <c r="E20" s="13"/>
      <c r="F20" s="13"/>
      <c r="G20" s="14"/>
    </row>
    <row r="21" ht="15.75" customHeight="1">
      <c r="B21" s="15">
        <v>3.0</v>
      </c>
      <c r="C21" s="15" t="s">
        <v>11</v>
      </c>
      <c r="D21" s="16"/>
      <c r="E21" s="13"/>
      <c r="F21" s="13"/>
      <c r="G21" s="14"/>
    </row>
    <row r="22" ht="15.75" customHeight="1"/>
    <row r="23" ht="15.75" customHeight="1">
      <c r="B23" s="7" t="s">
        <v>13</v>
      </c>
    </row>
    <row r="24" ht="15.75" customHeight="1">
      <c r="B24" s="6" t="s">
        <v>14</v>
      </c>
    </row>
    <row r="25" ht="15.75" customHeight="1">
      <c r="A25" s="19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15.75" customHeight="1">
      <c r="A26" s="19"/>
      <c r="B26" s="21" t="s">
        <v>15</v>
      </c>
      <c r="C26" s="21" t="s">
        <v>16</v>
      </c>
      <c r="D26" s="21" t="s">
        <v>17</v>
      </c>
      <c r="E26" s="22" t="s">
        <v>18</v>
      </c>
      <c r="F26" s="23"/>
      <c r="G26" s="24"/>
      <c r="H26" s="25" t="s">
        <v>19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15.75" customHeight="1">
      <c r="B27" s="26" t="s">
        <v>20</v>
      </c>
      <c r="C27" s="27">
        <v>0.0</v>
      </c>
      <c r="D27" s="27"/>
      <c r="E27" s="28"/>
      <c r="F27" s="23"/>
      <c r="G27" s="24"/>
      <c r="H27" s="29">
        <v>10.0</v>
      </c>
    </row>
    <row r="28" ht="45.0" customHeight="1">
      <c r="B28" s="30" t="s">
        <v>21</v>
      </c>
      <c r="C28" s="27">
        <v>0.0</v>
      </c>
      <c r="D28" s="27"/>
      <c r="E28" s="28"/>
      <c r="F28" s="23"/>
      <c r="G28" s="24"/>
      <c r="H28" s="29">
        <v>60.0</v>
      </c>
    </row>
    <row r="29" ht="36.75" customHeight="1">
      <c r="B29" s="30" t="s">
        <v>22</v>
      </c>
      <c r="C29" s="27">
        <v>0.0</v>
      </c>
      <c r="D29" s="27"/>
      <c r="E29" s="28"/>
      <c r="F29" s="23"/>
      <c r="G29" s="24"/>
      <c r="H29" s="29">
        <v>20.0</v>
      </c>
    </row>
    <row r="30" ht="36.0" customHeight="1">
      <c r="B30" s="31" t="s">
        <v>23</v>
      </c>
      <c r="C30" s="32">
        <v>0.0</v>
      </c>
      <c r="D30" s="27"/>
      <c r="E30" s="33"/>
      <c r="F30" s="9"/>
      <c r="G30" s="10"/>
      <c r="H30" s="29">
        <v>10.0</v>
      </c>
    </row>
    <row r="31" ht="15.75" customHeight="1">
      <c r="B31" s="34" t="s">
        <v>24</v>
      </c>
      <c r="C31" s="35">
        <f>SUM(C27:C30)</f>
        <v>0</v>
      </c>
      <c r="E31" s="36" t="s">
        <v>25</v>
      </c>
      <c r="F31" s="37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38"/>
      <c r="H31" s="39"/>
    </row>
    <row r="32" ht="15.75" customHeight="1">
      <c r="B32" s="2"/>
    </row>
    <row r="33" ht="15.75" customHeight="1">
      <c r="B33" s="5" t="s">
        <v>26</v>
      </c>
    </row>
    <row r="34" ht="15.75" customHeight="1">
      <c r="B34" s="6" t="s">
        <v>27</v>
      </c>
    </row>
    <row r="35" ht="15.75" customHeight="1"/>
    <row r="36" ht="15.75" customHeight="1">
      <c r="B36" s="40" t="s">
        <v>28</v>
      </c>
      <c r="C36" s="23"/>
      <c r="D36" s="23"/>
      <c r="E36" s="23"/>
      <c r="F36" s="23"/>
      <c r="G36" s="24"/>
    </row>
    <row r="37" ht="15.75" customHeight="1">
      <c r="B37" s="41"/>
      <c r="C37" s="9"/>
      <c r="D37" s="9"/>
      <c r="E37" s="9"/>
      <c r="F37" s="9"/>
      <c r="G37" s="10"/>
    </row>
    <row r="38" ht="15.75" customHeight="1">
      <c r="B38" s="42"/>
      <c r="C38" s="43"/>
      <c r="D38" s="43"/>
      <c r="E38" s="43"/>
      <c r="F38" s="43"/>
      <c r="G38" s="44"/>
    </row>
    <row r="39" ht="15.75" customHeight="1"/>
    <row r="40" ht="15.75" customHeight="1">
      <c r="B40" s="40" t="s">
        <v>29</v>
      </c>
      <c r="C40" s="23"/>
      <c r="D40" s="23"/>
      <c r="E40" s="23"/>
      <c r="F40" s="23"/>
      <c r="G40" s="24"/>
    </row>
    <row r="41" ht="15.75" customHeight="1">
      <c r="B41" s="41"/>
      <c r="C41" s="9"/>
      <c r="D41" s="9"/>
      <c r="E41" s="9"/>
      <c r="F41" s="9"/>
      <c r="G41" s="10"/>
    </row>
    <row r="42" ht="15.75" customHeight="1">
      <c r="B42" s="42"/>
      <c r="C42" s="43"/>
      <c r="D42" s="43"/>
      <c r="E42" s="43"/>
      <c r="F42" s="43"/>
      <c r="G42" s="44"/>
    </row>
    <row r="43" ht="15.75" customHeight="1"/>
    <row r="44" ht="15.75" customHeight="1">
      <c r="B44" s="8" t="s">
        <v>30</v>
      </c>
      <c r="C44" s="9"/>
      <c r="D44" s="9"/>
      <c r="E44" s="9"/>
      <c r="F44" s="9"/>
      <c r="G44" s="10"/>
    </row>
    <row r="45" ht="15.75" customHeight="1">
      <c r="B45" s="41"/>
      <c r="C45" s="9"/>
      <c r="D45" s="9"/>
      <c r="E45" s="9"/>
      <c r="F45" s="9"/>
      <c r="G45" s="10"/>
    </row>
    <row r="46" ht="15.75" customHeight="1">
      <c r="B46" s="42"/>
      <c r="C46" s="43"/>
      <c r="D46" s="43"/>
      <c r="E46" s="43"/>
      <c r="F46" s="43"/>
      <c r="G46" s="44"/>
    </row>
    <row r="47" ht="15.75" customHeight="1">
      <c r="B47" s="45" t="str">
        <f>CONCATENATE("El Estudiante ",B49,C49,E49,F49)</f>
        <v>El Estudiante ....</v>
      </c>
      <c r="C47" s="13"/>
      <c r="D47" s="13"/>
      <c r="E47" s="13"/>
      <c r="F47" s="13"/>
      <c r="G47" s="14"/>
    </row>
    <row r="48" ht="15.75" customHeight="1">
      <c r="B48" s="46" t="s">
        <v>31</v>
      </c>
      <c r="C48" s="47" t="s">
        <v>32</v>
      </c>
      <c r="D48" s="14"/>
      <c r="E48" s="48" t="s">
        <v>33</v>
      </c>
      <c r="F48" s="49" t="s">
        <v>34</v>
      </c>
      <c r="G48" s="14"/>
    </row>
    <row r="49" ht="54.75" customHeight="1">
      <c r="A49" s="19"/>
      <c r="B49" s="50" t="s">
        <v>35</v>
      </c>
      <c r="C49" s="51"/>
      <c r="D49" s="14"/>
      <c r="E49" s="52"/>
      <c r="F49" s="53"/>
      <c r="G49" s="14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15.75" customHeight="1">
      <c r="B50" s="54" t="s">
        <v>36</v>
      </c>
    </row>
    <row r="51" ht="15.75" customHeight="1"/>
    <row r="52" ht="15.75" customHeight="1">
      <c r="B52" s="55" t="s">
        <v>37</v>
      </c>
    </row>
    <row r="53" ht="15.75" customHeight="1">
      <c r="B53" s="55" t="s">
        <v>38</v>
      </c>
    </row>
    <row r="54" ht="15.75" customHeight="1">
      <c r="B54" s="55" t="s">
        <v>39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</mergeCells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1.5"/>
    <col customWidth="1" min="3" max="3" width="22.25"/>
  </cols>
  <sheetData>
    <row r="1" ht="15.75" customHeight="1">
      <c r="B1" s="1" t="s">
        <v>0</v>
      </c>
    </row>
    <row r="2" ht="15.75" customHeight="1">
      <c r="B2" s="2"/>
    </row>
    <row r="3" ht="15.75" customHeight="1">
      <c r="B3" s="2" t="s">
        <v>1</v>
      </c>
      <c r="C3" s="3" t="s">
        <v>2</v>
      </c>
    </row>
    <row r="4" ht="15.75" customHeight="1">
      <c r="B4" s="2" t="s">
        <v>3</v>
      </c>
      <c r="C4" s="4" t="str">
        <f>IFERROR(__xludf.DUMMYFUNCTION("INDEX(
  QUERY(
    IMPORTRANGE(
      ""https://docs.google.com/spreadsheets/d/1AFhV6Vh7F_G-ORVC4UZonzt2v-_Ai8MzAwx5ONHj36Y/edit?gid=0#gid=0"",
      ""BD!A:J""
    ),
    ""select Col5 where Col8 = 'Docente' and Col3 = '"" &amp; C3 &amp; ""'"",
    0
  ),
  3
)"),"#REF!")</f>
        <v>#REF!</v>
      </c>
    </row>
    <row r="5" ht="15.75" customHeight="1"/>
    <row r="6" ht="15.75" customHeight="1">
      <c r="B6" s="5" t="s">
        <v>4</v>
      </c>
    </row>
    <row r="7" ht="15.75" customHeight="1">
      <c r="B7" s="6" t="s">
        <v>5</v>
      </c>
    </row>
    <row r="8" ht="15.75" customHeight="1"/>
    <row r="9" ht="15.75" customHeight="1">
      <c r="B9" s="7" t="s">
        <v>6</v>
      </c>
    </row>
    <row r="10" ht="15.75" customHeight="1"/>
    <row r="11" ht="15.75" customHeight="1">
      <c r="B11" s="8" t="s">
        <v>7</v>
      </c>
      <c r="C11" s="9"/>
      <c r="D11" s="9"/>
      <c r="E11" s="9"/>
      <c r="F11" s="9"/>
      <c r="G11" s="10"/>
    </row>
    <row r="12" ht="15.75" customHeight="1">
      <c r="B12" s="11" t="s">
        <v>8</v>
      </c>
      <c r="C12" s="11" t="s">
        <v>9</v>
      </c>
      <c r="D12" s="12" t="s">
        <v>10</v>
      </c>
      <c r="E12" s="13"/>
      <c r="F12" s="13"/>
      <c r="G12" s="14"/>
    </row>
    <row r="13" ht="15.75" customHeight="1">
      <c r="B13" s="15">
        <v>1.0</v>
      </c>
      <c r="C13" s="15"/>
      <c r="D13" s="16"/>
      <c r="E13" s="13"/>
      <c r="F13" s="13"/>
      <c r="G13" s="14"/>
    </row>
    <row r="14" ht="15.75" customHeight="1">
      <c r="B14" s="15">
        <v>2.0</v>
      </c>
      <c r="C14" s="15"/>
      <c r="D14" s="16"/>
      <c r="E14" s="13"/>
      <c r="F14" s="13"/>
      <c r="G14" s="14"/>
    </row>
    <row r="15" ht="29.25" customHeight="1">
      <c r="B15" s="15">
        <v>3.0</v>
      </c>
      <c r="C15" s="15" t="s">
        <v>11</v>
      </c>
      <c r="D15" s="16"/>
      <c r="E15" s="13"/>
      <c r="F15" s="13"/>
      <c r="G15" s="14"/>
    </row>
    <row r="16" ht="15.75" customHeight="1"/>
    <row r="17" ht="33.0" customHeight="1">
      <c r="B17" s="8" t="s">
        <v>12</v>
      </c>
      <c r="C17" s="9"/>
      <c r="D17" s="9"/>
      <c r="E17" s="9"/>
      <c r="F17" s="9"/>
      <c r="G17" s="10"/>
    </row>
    <row r="18" ht="15.75" customHeight="1">
      <c r="B18" s="17" t="s">
        <v>8</v>
      </c>
      <c r="C18" s="17" t="s">
        <v>9</v>
      </c>
      <c r="D18" s="18" t="s">
        <v>10</v>
      </c>
      <c r="E18" s="13"/>
      <c r="F18" s="13"/>
      <c r="G18" s="14"/>
    </row>
    <row r="19" ht="15.75" customHeight="1">
      <c r="B19" s="15">
        <v>1.0</v>
      </c>
      <c r="C19" s="15"/>
      <c r="D19" s="16"/>
      <c r="E19" s="13"/>
      <c r="F19" s="13"/>
      <c r="G19" s="14"/>
    </row>
    <row r="20" ht="15.75" customHeight="1">
      <c r="B20" s="15">
        <v>2.0</v>
      </c>
      <c r="C20" s="15"/>
      <c r="D20" s="16"/>
      <c r="E20" s="13"/>
      <c r="F20" s="13"/>
      <c r="G20" s="14"/>
    </row>
    <row r="21" ht="15.75" customHeight="1">
      <c r="B21" s="15">
        <v>3.0</v>
      </c>
      <c r="C21" s="15" t="s">
        <v>11</v>
      </c>
      <c r="D21" s="16"/>
      <c r="E21" s="13"/>
      <c r="F21" s="13"/>
      <c r="G21" s="14"/>
    </row>
    <row r="22" ht="15.75" customHeight="1"/>
    <row r="23" ht="15.75" customHeight="1">
      <c r="B23" s="7" t="s">
        <v>13</v>
      </c>
    </row>
    <row r="24" ht="15.75" customHeight="1">
      <c r="B24" s="6" t="s">
        <v>14</v>
      </c>
    </row>
    <row r="25" ht="15.75" customHeight="1">
      <c r="A25" s="19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15.75" customHeight="1">
      <c r="A26" s="19"/>
      <c r="B26" s="21" t="s">
        <v>15</v>
      </c>
      <c r="C26" s="21" t="s">
        <v>16</v>
      </c>
      <c r="D26" s="21" t="s">
        <v>17</v>
      </c>
      <c r="E26" s="22" t="s">
        <v>18</v>
      </c>
      <c r="F26" s="23"/>
      <c r="G26" s="24"/>
      <c r="H26" s="25" t="s">
        <v>19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15.75" customHeight="1">
      <c r="B27" s="26" t="s">
        <v>20</v>
      </c>
      <c r="C27" s="27">
        <v>0.0</v>
      </c>
      <c r="D27" s="27"/>
      <c r="E27" s="28"/>
      <c r="F27" s="23"/>
      <c r="G27" s="24"/>
      <c r="H27" s="29">
        <v>10.0</v>
      </c>
    </row>
    <row r="28" ht="45.0" customHeight="1">
      <c r="B28" s="30" t="s">
        <v>21</v>
      </c>
      <c r="C28" s="27">
        <v>0.0</v>
      </c>
      <c r="D28" s="27"/>
      <c r="E28" s="28"/>
      <c r="F28" s="23"/>
      <c r="G28" s="24"/>
      <c r="H28" s="29">
        <v>60.0</v>
      </c>
    </row>
    <row r="29" ht="36.75" customHeight="1">
      <c r="B29" s="30" t="s">
        <v>22</v>
      </c>
      <c r="C29" s="27">
        <v>0.0</v>
      </c>
      <c r="D29" s="27"/>
      <c r="E29" s="28"/>
      <c r="F29" s="23"/>
      <c r="G29" s="24"/>
      <c r="H29" s="29">
        <v>20.0</v>
      </c>
    </row>
    <row r="30" ht="36.0" customHeight="1">
      <c r="B30" s="31" t="s">
        <v>23</v>
      </c>
      <c r="C30" s="32">
        <v>0.0</v>
      </c>
      <c r="D30" s="27"/>
      <c r="E30" s="33"/>
      <c r="F30" s="9"/>
      <c r="G30" s="10"/>
      <c r="H30" s="29">
        <v>10.0</v>
      </c>
    </row>
    <row r="31" ht="15.75" customHeight="1">
      <c r="B31" s="34" t="s">
        <v>24</v>
      </c>
      <c r="C31" s="35">
        <f>SUM(C27:C30)</f>
        <v>0</v>
      </c>
      <c r="E31" s="36" t="s">
        <v>25</v>
      </c>
      <c r="F31" s="37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38"/>
      <c r="H31" s="39"/>
    </row>
    <row r="32" ht="15.75" customHeight="1">
      <c r="B32" s="2"/>
    </row>
    <row r="33" ht="15.75" customHeight="1">
      <c r="B33" s="5" t="s">
        <v>26</v>
      </c>
    </row>
    <row r="34" ht="15.75" customHeight="1">
      <c r="B34" s="6" t="s">
        <v>27</v>
      </c>
    </row>
    <row r="35" ht="15.75" customHeight="1"/>
    <row r="36" ht="15.75" customHeight="1">
      <c r="B36" s="40" t="s">
        <v>28</v>
      </c>
      <c r="C36" s="23"/>
      <c r="D36" s="23"/>
      <c r="E36" s="23"/>
      <c r="F36" s="23"/>
      <c r="G36" s="24"/>
    </row>
    <row r="37" ht="15.75" customHeight="1">
      <c r="B37" s="41"/>
      <c r="C37" s="9"/>
      <c r="D37" s="9"/>
      <c r="E37" s="9"/>
      <c r="F37" s="9"/>
      <c r="G37" s="10"/>
    </row>
    <row r="38" ht="15.75" customHeight="1">
      <c r="B38" s="42"/>
      <c r="C38" s="43"/>
      <c r="D38" s="43"/>
      <c r="E38" s="43"/>
      <c r="F38" s="43"/>
      <c r="G38" s="44"/>
    </row>
    <row r="39" ht="15.75" customHeight="1"/>
    <row r="40" ht="15.75" customHeight="1">
      <c r="B40" s="40" t="s">
        <v>29</v>
      </c>
      <c r="C40" s="23"/>
      <c r="D40" s="23"/>
      <c r="E40" s="23"/>
      <c r="F40" s="23"/>
      <c r="G40" s="24"/>
    </row>
    <row r="41" ht="15.75" customHeight="1">
      <c r="B41" s="41"/>
      <c r="C41" s="9"/>
      <c r="D41" s="9"/>
      <c r="E41" s="9"/>
      <c r="F41" s="9"/>
      <c r="G41" s="10"/>
    </row>
    <row r="42" ht="15.75" customHeight="1">
      <c r="B42" s="42"/>
      <c r="C42" s="43"/>
      <c r="D42" s="43"/>
      <c r="E42" s="43"/>
      <c r="F42" s="43"/>
      <c r="G42" s="44"/>
    </row>
    <row r="43" ht="15.75" customHeight="1"/>
    <row r="44" ht="15.75" customHeight="1">
      <c r="B44" s="8" t="s">
        <v>30</v>
      </c>
      <c r="C44" s="9"/>
      <c r="D44" s="9"/>
      <c r="E44" s="9"/>
      <c r="F44" s="9"/>
      <c r="G44" s="10"/>
    </row>
    <row r="45" ht="15.75" customHeight="1">
      <c r="B45" s="41"/>
      <c r="C45" s="9"/>
      <c r="D45" s="9"/>
      <c r="E45" s="9"/>
      <c r="F45" s="9"/>
      <c r="G45" s="10"/>
    </row>
    <row r="46" ht="15.75" customHeight="1">
      <c r="B46" s="42"/>
      <c r="C46" s="43"/>
      <c r="D46" s="43"/>
      <c r="E46" s="43"/>
      <c r="F46" s="43"/>
      <c r="G46" s="44"/>
    </row>
    <row r="47" ht="15.75" customHeight="1">
      <c r="B47" s="45" t="str">
        <f>CONCATENATE("El Estudiante ",B49,C49,E49,F49)</f>
        <v>El Estudiante ....</v>
      </c>
      <c r="C47" s="13"/>
      <c r="D47" s="13"/>
      <c r="E47" s="13"/>
      <c r="F47" s="13"/>
      <c r="G47" s="14"/>
    </row>
    <row r="48" ht="15.75" customHeight="1">
      <c r="B48" s="46" t="s">
        <v>31</v>
      </c>
      <c r="C48" s="47" t="s">
        <v>32</v>
      </c>
      <c r="D48" s="14"/>
      <c r="E48" s="48" t="s">
        <v>33</v>
      </c>
      <c r="F48" s="49" t="s">
        <v>34</v>
      </c>
      <c r="G48" s="14"/>
    </row>
    <row r="49" ht="54.75" customHeight="1">
      <c r="A49" s="19"/>
      <c r="B49" s="50" t="s">
        <v>35</v>
      </c>
      <c r="C49" s="51"/>
      <c r="D49" s="14"/>
      <c r="E49" s="52"/>
      <c r="F49" s="53"/>
      <c r="G49" s="14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15.75" customHeight="1">
      <c r="B50" s="54" t="s">
        <v>36</v>
      </c>
    </row>
    <row r="51" ht="15.75" customHeight="1"/>
    <row r="52" ht="15.75" customHeight="1">
      <c r="B52" s="55" t="s">
        <v>37</v>
      </c>
    </row>
    <row r="53" ht="15.75" customHeight="1">
      <c r="B53" s="55" t="s">
        <v>38</v>
      </c>
    </row>
    <row r="54" ht="15.75" customHeight="1">
      <c r="B54" s="55" t="s">
        <v>39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</mergeCells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1.5"/>
    <col customWidth="1" min="3" max="3" width="30.5"/>
  </cols>
  <sheetData>
    <row r="1" ht="15.75" customHeight="1">
      <c r="B1" s="1" t="s">
        <v>0</v>
      </c>
    </row>
    <row r="2" ht="15.75" customHeight="1">
      <c r="B2" s="2"/>
    </row>
    <row r="3" ht="15.75" customHeight="1">
      <c r="B3" s="2" t="s">
        <v>1</v>
      </c>
      <c r="C3" s="3" t="s">
        <v>2</v>
      </c>
    </row>
    <row r="4" ht="15.75" customHeight="1">
      <c r="B4" s="2" t="s">
        <v>3</v>
      </c>
      <c r="C4" s="4" t="str">
        <f>IFERROR(__xludf.DUMMYFUNCTION("INDEX(
  QUERY(
    IMPORTRANGE(
      ""https://docs.google.com/spreadsheets/d/1AFhV6Vh7F_G-ORVC4UZonzt2v-_Ai8MzAwx5ONHj36Y/edit?gid=0#gid=0"",
      ""BD!A:J""
    ),
    ""select Col5 where Col8 = 'Docente' and Col3 = '"" &amp; C3 &amp; ""'"",
    0
  ),
  4
)"),"#REF!")</f>
        <v>#REF!</v>
      </c>
    </row>
    <row r="5" ht="15.75" customHeight="1"/>
    <row r="6" ht="15.75" customHeight="1">
      <c r="B6" s="5" t="s">
        <v>4</v>
      </c>
    </row>
    <row r="7" ht="27.0" customHeight="1">
      <c r="B7" s="6" t="s">
        <v>5</v>
      </c>
    </row>
    <row r="8" ht="19.5" customHeight="1"/>
    <row r="9" ht="15.75" customHeight="1">
      <c r="B9" s="7" t="s">
        <v>6</v>
      </c>
    </row>
    <row r="10" ht="15.75" customHeight="1"/>
    <row r="11" ht="15.75" customHeight="1">
      <c r="B11" s="8" t="s">
        <v>7</v>
      </c>
      <c r="C11" s="9"/>
      <c r="D11" s="9"/>
      <c r="E11" s="9"/>
      <c r="F11" s="9"/>
      <c r="G11" s="10"/>
    </row>
    <row r="12" ht="15.75" customHeight="1">
      <c r="B12" s="11" t="s">
        <v>8</v>
      </c>
      <c r="C12" s="11" t="s">
        <v>9</v>
      </c>
      <c r="D12" s="12" t="s">
        <v>10</v>
      </c>
      <c r="E12" s="13"/>
      <c r="F12" s="13"/>
      <c r="G12" s="14"/>
    </row>
    <row r="13" ht="15.75" customHeight="1">
      <c r="B13" s="15">
        <v>1.0</v>
      </c>
      <c r="C13" s="56" t="s">
        <v>40</v>
      </c>
      <c r="D13" s="57" t="s">
        <v>41</v>
      </c>
      <c r="E13" s="13"/>
      <c r="F13" s="13"/>
      <c r="G13" s="14"/>
      <c r="H13" s="3" t="s">
        <v>42</v>
      </c>
    </row>
    <row r="14" ht="15.75" customHeight="1">
      <c r="B14" s="15">
        <v>2.0</v>
      </c>
      <c r="C14" s="56" t="s">
        <v>40</v>
      </c>
      <c r="D14" s="16"/>
      <c r="E14" s="13"/>
      <c r="F14" s="13"/>
      <c r="G14" s="14"/>
      <c r="H14" s="58" t="s">
        <v>43</v>
      </c>
    </row>
    <row r="15" ht="29.25" customHeight="1">
      <c r="B15" s="15">
        <v>3.0</v>
      </c>
      <c r="C15" s="15" t="s">
        <v>11</v>
      </c>
      <c r="D15" s="57" t="s">
        <v>44</v>
      </c>
      <c r="E15" s="13"/>
      <c r="F15" s="13"/>
      <c r="G15" s="14"/>
    </row>
    <row r="16" ht="15.75" customHeight="1"/>
    <row r="17" ht="33.0" customHeight="1">
      <c r="B17" s="8" t="s">
        <v>12</v>
      </c>
      <c r="C17" s="9"/>
      <c r="D17" s="9"/>
      <c r="E17" s="9"/>
      <c r="F17" s="9"/>
      <c r="G17" s="10"/>
    </row>
    <row r="18" ht="15.75" customHeight="1">
      <c r="B18" s="17" t="s">
        <v>8</v>
      </c>
      <c r="C18" s="17" t="s">
        <v>9</v>
      </c>
      <c r="D18" s="18" t="s">
        <v>10</v>
      </c>
      <c r="E18" s="13"/>
      <c r="F18" s="13"/>
      <c r="G18" s="14"/>
    </row>
    <row r="19" ht="15.75" customHeight="1">
      <c r="B19" s="15">
        <v>1.0</v>
      </c>
      <c r="C19" s="15"/>
      <c r="D19" s="16"/>
      <c r="E19" s="13"/>
      <c r="F19" s="13"/>
      <c r="G19" s="14"/>
    </row>
    <row r="20" ht="15.75" customHeight="1">
      <c r="B20" s="15">
        <v>2.0</v>
      </c>
      <c r="C20" s="15"/>
      <c r="D20" s="16"/>
      <c r="E20" s="13"/>
      <c r="F20" s="13"/>
      <c r="G20" s="14"/>
    </row>
    <row r="21" ht="15.75" customHeight="1">
      <c r="B21" s="15">
        <v>3.0</v>
      </c>
      <c r="C21" s="15" t="s">
        <v>11</v>
      </c>
      <c r="D21" s="16"/>
      <c r="E21" s="13"/>
      <c r="F21" s="13"/>
      <c r="G21" s="14"/>
    </row>
    <row r="22" ht="15.75" customHeight="1"/>
    <row r="23" ht="15.75" customHeight="1">
      <c r="B23" s="7" t="s">
        <v>13</v>
      </c>
    </row>
    <row r="24" ht="15.75" customHeight="1">
      <c r="B24" s="6" t="s">
        <v>14</v>
      </c>
    </row>
    <row r="25" ht="15.75" customHeight="1">
      <c r="A25" s="19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15.75" customHeight="1">
      <c r="A26" s="19"/>
      <c r="B26" s="21" t="s">
        <v>15</v>
      </c>
      <c r="C26" s="21" t="s">
        <v>16</v>
      </c>
      <c r="D26" s="21" t="s">
        <v>17</v>
      </c>
      <c r="E26" s="22" t="s">
        <v>18</v>
      </c>
      <c r="F26" s="23"/>
      <c r="G26" s="24"/>
      <c r="H26" s="25" t="s">
        <v>19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15.75" customHeight="1">
      <c r="B27" s="26" t="s">
        <v>20</v>
      </c>
      <c r="C27" s="59">
        <v>10.0</v>
      </c>
      <c r="D27" s="60">
        <v>46146.0</v>
      </c>
      <c r="E27" s="3" t="s">
        <v>45</v>
      </c>
      <c r="F27" s="61"/>
      <c r="G27" s="62"/>
      <c r="H27" s="29">
        <v>10.0</v>
      </c>
    </row>
    <row r="28" ht="45.0" customHeight="1">
      <c r="B28" s="30" t="s">
        <v>21</v>
      </c>
      <c r="C28" s="59">
        <v>60.0</v>
      </c>
      <c r="D28" s="59">
        <v>2.0</v>
      </c>
      <c r="E28" s="63" t="s">
        <v>46</v>
      </c>
      <c r="F28" s="23"/>
      <c r="G28" s="24"/>
      <c r="H28" s="29">
        <v>60.0</v>
      </c>
    </row>
    <row r="29" ht="36.75" customHeight="1">
      <c r="B29" s="30" t="s">
        <v>22</v>
      </c>
      <c r="C29" s="59">
        <v>20.0</v>
      </c>
      <c r="D29" s="59">
        <v>1.0</v>
      </c>
      <c r="E29" s="63" t="s">
        <v>47</v>
      </c>
      <c r="F29" s="23"/>
      <c r="G29" s="24"/>
      <c r="H29" s="29">
        <v>20.0</v>
      </c>
    </row>
    <row r="30" ht="36.0" customHeight="1">
      <c r="B30" s="31" t="s">
        <v>23</v>
      </c>
      <c r="C30" s="64">
        <v>10.0</v>
      </c>
      <c r="D30" s="59">
        <v>4.0</v>
      </c>
      <c r="E30" s="65" t="s">
        <v>48</v>
      </c>
      <c r="F30" s="9"/>
      <c r="G30" s="10"/>
      <c r="H30" s="29">
        <v>10.0</v>
      </c>
    </row>
    <row r="31" ht="15.75" customHeight="1">
      <c r="B31" s="34" t="s">
        <v>24</v>
      </c>
      <c r="C31" s="35">
        <f>SUM(C27:C30)</f>
        <v>100</v>
      </c>
      <c r="E31" s="36" t="s">
        <v>25</v>
      </c>
      <c r="F31" s="37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)"),"✅ Distribución válida")</f>
        <v>✅ Distribución válida</v>
      </c>
      <c r="G31" s="38"/>
      <c r="H31" s="39"/>
    </row>
    <row r="32" ht="15.75" customHeight="1">
      <c r="B32" s="2"/>
    </row>
    <row r="33" ht="15.75" customHeight="1">
      <c r="B33" s="5" t="s">
        <v>26</v>
      </c>
    </row>
    <row r="34" ht="15.75" customHeight="1">
      <c r="B34" s="6" t="s">
        <v>27</v>
      </c>
    </row>
    <row r="35" ht="15.75" customHeight="1"/>
    <row r="36" ht="15.75" customHeight="1">
      <c r="B36" s="40" t="s">
        <v>28</v>
      </c>
      <c r="C36" s="23"/>
      <c r="D36" s="23"/>
      <c r="E36" s="23"/>
      <c r="F36" s="23"/>
      <c r="G36" s="24"/>
    </row>
    <row r="37" ht="15.75" customHeight="1">
      <c r="B37" s="65" t="s">
        <v>49</v>
      </c>
      <c r="C37" s="9"/>
      <c r="D37" s="9"/>
      <c r="E37" s="9"/>
      <c r="F37" s="9"/>
      <c r="G37" s="10"/>
    </row>
    <row r="38" ht="25.5" customHeight="1">
      <c r="B38" s="42"/>
      <c r="C38" s="43"/>
      <c r="D38" s="43"/>
      <c r="E38" s="43"/>
      <c r="F38" s="43"/>
      <c r="G38" s="44"/>
    </row>
    <row r="39" ht="15.75" customHeight="1"/>
    <row r="40" ht="15.75" customHeight="1">
      <c r="B40" s="40" t="s">
        <v>29</v>
      </c>
      <c r="C40" s="23"/>
      <c r="D40" s="23"/>
      <c r="E40" s="23"/>
      <c r="F40" s="23"/>
      <c r="G40" s="24"/>
    </row>
    <row r="41" ht="15.75" customHeight="1">
      <c r="B41" s="65" t="s">
        <v>50</v>
      </c>
      <c r="C41" s="9"/>
      <c r="D41" s="9"/>
      <c r="E41" s="9"/>
      <c r="F41" s="9"/>
      <c r="G41" s="10"/>
    </row>
    <row r="42" ht="15.75" customHeight="1">
      <c r="B42" s="42"/>
      <c r="C42" s="43"/>
      <c r="D42" s="43"/>
      <c r="E42" s="43"/>
      <c r="F42" s="43"/>
      <c r="G42" s="44"/>
    </row>
    <row r="43" ht="15.75" customHeight="1"/>
    <row r="44" ht="15.75" customHeight="1">
      <c r="B44" s="8" t="s">
        <v>30</v>
      </c>
      <c r="C44" s="9"/>
      <c r="D44" s="9"/>
      <c r="E44" s="9"/>
      <c r="F44" s="9"/>
      <c r="G44" s="10"/>
    </row>
    <row r="45" ht="15.75" customHeight="1">
      <c r="B45" s="41"/>
      <c r="C45" s="9"/>
      <c r="D45" s="9"/>
      <c r="E45" s="9"/>
      <c r="F45" s="9"/>
      <c r="G45" s="10"/>
    </row>
    <row r="46" ht="15.75" customHeight="1">
      <c r="B46" s="42"/>
      <c r="C46" s="43"/>
      <c r="D46" s="43"/>
      <c r="E46" s="43"/>
      <c r="F46" s="43"/>
      <c r="G46" s="44"/>
    </row>
    <row r="47" ht="39.0" customHeight="1">
      <c r="B47" s="66" t="str">
        <f>CONCATENATE("El Estudiante ",B49,C49,E49,F49)</f>
        <v>El Estudiante Construye algoritmos de reconocimiento de lenguajes mediante la codificación manual de analizadores léxicos y sintácticos bajo los estándares de la jerarquía de Chomsky y optimización de memoria.</v>
      </c>
      <c r="C47" s="13"/>
      <c r="D47" s="13"/>
      <c r="E47" s="13"/>
      <c r="F47" s="13"/>
      <c r="G47" s="14"/>
    </row>
    <row r="48" ht="15.75" customHeight="1">
      <c r="B48" s="46" t="s">
        <v>31</v>
      </c>
      <c r="C48" s="47" t="s">
        <v>32</v>
      </c>
      <c r="D48" s="14"/>
      <c r="E48" s="48" t="s">
        <v>33</v>
      </c>
      <c r="F48" s="49" t="s">
        <v>34</v>
      </c>
      <c r="G48" s="14"/>
    </row>
    <row r="49" ht="54.75" customHeight="1">
      <c r="A49" s="19"/>
      <c r="B49" s="3" t="s">
        <v>51</v>
      </c>
      <c r="C49" s="67" t="s">
        <v>52</v>
      </c>
      <c r="D49" s="14"/>
      <c r="E49" s="68" t="s">
        <v>53</v>
      </c>
      <c r="F49" s="69" t="s">
        <v>54</v>
      </c>
      <c r="G49" s="14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15.75" customHeight="1">
      <c r="B50" s="54" t="s">
        <v>36</v>
      </c>
    </row>
    <row r="51" ht="15.75" customHeight="1"/>
    <row r="52" ht="15.75" customHeight="1">
      <c r="B52" s="55" t="s">
        <v>37</v>
      </c>
    </row>
    <row r="53" ht="15.75" customHeight="1">
      <c r="B53" s="55" t="s">
        <v>38</v>
      </c>
    </row>
    <row r="54" ht="15.75" customHeight="1">
      <c r="B54" s="55" t="s">
        <v>39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8:G28"/>
    <mergeCell ref="E29:G29"/>
    <mergeCell ref="E30:G30"/>
    <mergeCell ref="F31:H31"/>
    <mergeCell ref="B34:G34"/>
    <mergeCell ref="C48:D48"/>
    <mergeCell ref="F48:G48"/>
    <mergeCell ref="C49:D49"/>
    <mergeCell ref="F49:G49"/>
    <mergeCell ref="B36:G36"/>
    <mergeCell ref="B37:G38"/>
    <mergeCell ref="B40:G40"/>
    <mergeCell ref="B41:G42"/>
    <mergeCell ref="B44:G44"/>
    <mergeCell ref="B45:G46"/>
    <mergeCell ref="B47:G47"/>
  </mergeCells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21.5"/>
    <col customWidth="1" min="3" max="3" width="13.38"/>
  </cols>
  <sheetData>
    <row r="1" ht="15.75" customHeight="1">
      <c r="B1" s="70" t="s">
        <v>55</v>
      </c>
    </row>
    <row r="2" ht="15.75" customHeight="1">
      <c r="B2" s="2"/>
    </row>
    <row r="3" ht="15.75" customHeight="1">
      <c r="B3" s="2" t="s">
        <v>1</v>
      </c>
      <c r="C3" s="3" t="s">
        <v>2</v>
      </c>
    </row>
    <row r="4" ht="15.75" customHeight="1">
      <c r="B4" s="2" t="s">
        <v>56</v>
      </c>
      <c r="C4" s="3" t="s">
        <v>57</v>
      </c>
    </row>
    <row r="5" ht="15.75" customHeight="1"/>
    <row r="6" ht="15.75" customHeight="1">
      <c r="B6" s="5" t="s">
        <v>4</v>
      </c>
    </row>
    <row r="7" ht="15.75" customHeight="1">
      <c r="B7" s="6" t="s">
        <v>5</v>
      </c>
    </row>
    <row r="8" ht="15.75" customHeight="1"/>
    <row r="9" ht="15.75" customHeight="1">
      <c r="B9" s="7" t="s">
        <v>6</v>
      </c>
    </row>
    <row r="10" ht="15.75" customHeight="1"/>
    <row r="11" ht="15.75" customHeight="1">
      <c r="B11" s="8" t="s">
        <v>7</v>
      </c>
      <c r="C11" s="9"/>
      <c r="D11" s="9"/>
      <c r="E11" s="9"/>
      <c r="F11" s="9"/>
      <c r="G11" s="10"/>
    </row>
    <row r="12" ht="15.75" customHeight="1">
      <c r="B12" s="11" t="s">
        <v>8</v>
      </c>
      <c r="C12" s="11" t="s">
        <v>9</v>
      </c>
      <c r="D12" s="12" t="s">
        <v>10</v>
      </c>
      <c r="E12" s="13"/>
      <c r="F12" s="13"/>
      <c r="G12" s="14"/>
    </row>
    <row r="13" ht="15.75" customHeight="1">
      <c r="B13" s="15">
        <v>1.0</v>
      </c>
      <c r="C13" s="15"/>
      <c r="D13" s="16"/>
      <c r="E13" s="13"/>
      <c r="F13" s="13"/>
      <c r="G13" s="14"/>
    </row>
    <row r="14" ht="29.25" customHeight="1">
      <c r="B14" s="15">
        <v>2.0</v>
      </c>
      <c r="C14" s="15"/>
      <c r="D14" s="16"/>
      <c r="E14" s="13"/>
      <c r="F14" s="13"/>
      <c r="G14" s="14"/>
    </row>
    <row r="15" ht="29.25" customHeight="1">
      <c r="B15" s="15">
        <v>3.0</v>
      </c>
      <c r="C15" s="15" t="s">
        <v>11</v>
      </c>
      <c r="D15" s="16"/>
      <c r="E15" s="13"/>
      <c r="F15" s="13"/>
      <c r="G15" s="14"/>
    </row>
    <row r="16" ht="33.0" customHeight="1"/>
    <row r="17" ht="33.0" customHeight="1">
      <c r="B17" s="8" t="s">
        <v>12</v>
      </c>
      <c r="C17" s="9"/>
      <c r="D17" s="9"/>
      <c r="E17" s="9"/>
      <c r="F17" s="9"/>
      <c r="G17" s="10"/>
    </row>
    <row r="18" ht="15.75" customHeight="1">
      <c r="B18" s="17" t="s">
        <v>8</v>
      </c>
      <c r="C18" s="17" t="s">
        <v>9</v>
      </c>
      <c r="D18" s="18" t="s">
        <v>10</v>
      </c>
      <c r="E18" s="13"/>
      <c r="F18" s="13"/>
      <c r="G18" s="14"/>
    </row>
    <row r="19" ht="15.75" customHeight="1">
      <c r="B19" s="15">
        <v>1.0</v>
      </c>
      <c r="C19" s="15"/>
      <c r="D19" s="16"/>
      <c r="E19" s="13"/>
      <c r="F19" s="13"/>
      <c r="G19" s="14"/>
    </row>
    <row r="20" ht="15.75" customHeight="1">
      <c r="B20" s="15">
        <v>2.0</v>
      </c>
      <c r="C20" s="15"/>
      <c r="D20" s="16"/>
      <c r="E20" s="13"/>
      <c r="F20" s="13"/>
      <c r="G20" s="14"/>
    </row>
    <row r="21" ht="15.75" customHeight="1">
      <c r="B21" s="15">
        <v>3.0</v>
      </c>
      <c r="C21" s="15" t="s">
        <v>11</v>
      </c>
      <c r="D21" s="16"/>
      <c r="E21" s="13"/>
      <c r="F21" s="13"/>
      <c r="G21" s="14"/>
    </row>
    <row r="22" ht="15.75" customHeight="1"/>
    <row r="23" ht="15.75" customHeight="1">
      <c r="B23" s="7" t="s">
        <v>13</v>
      </c>
    </row>
    <row r="24" ht="15.75" customHeight="1">
      <c r="B24" s="6" t="s">
        <v>14</v>
      </c>
    </row>
    <row r="25" ht="45.0" customHeight="1">
      <c r="A25" s="19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36.75" customHeight="1">
      <c r="A26" s="19"/>
      <c r="B26" s="21" t="s">
        <v>15</v>
      </c>
      <c r="C26" s="21" t="s">
        <v>16</v>
      </c>
      <c r="D26" s="21" t="s">
        <v>17</v>
      </c>
      <c r="E26" s="22" t="s">
        <v>18</v>
      </c>
      <c r="F26" s="23"/>
      <c r="G26" s="24"/>
      <c r="H26" s="25" t="s">
        <v>19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36.0" customHeight="1">
      <c r="B27" s="26" t="s">
        <v>20</v>
      </c>
      <c r="C27" s="27">
        <v>0.0</v>
      </c>
      <c r="D27" s="27"/>
      <c r="E27" s="28"/>
      <c r="F27" s="23"/>
      <c r="G27" s="24"/>
      <c r="H27" s="29">
        <v>10.0</v>
      </c>
    </row>
    <row r="28" ht="45.0" customHeight="1">
      <c r="B28" s="30" t="s">
        <v>21</v>
      </c>
      <c r="C28" s="27">
        <v>0.0</v>
      </c>
      <c r="D28" s="27"/>
      <c r="E28" s="28"/>
      <c r="F28" s="23"/>
      <c r="G28" s="24"/>
      <c r="H28" s="29">
        <v>60.0</v>
      </c>
    </row>
    <row r="29" ht="36.75" customHeight="1">
      <c r="B29" s="30" t="s">
        <v>22</v>
      </c>
      <c r="C29" s="27">
        <v>0.0</v>
      </c>
      <c r="D29" s="27"/>
      <c r="E29" s="28"/>
      <c r="F29" s="23"/>
      <c r="G29" s="24"/>
      <c r="H29" s="29">
        <v>20.0</v>
      </c>
    </row>
    <row r="30" ht="36.0" customHeight="1">
      <c r="B30" s="31" t="s">
        <v>23</v>
      </c>
      <c r="C30" s="32">
        <v>0.0</v>
      </c>
      <c r="D30" s="27"/>
      <c r="E30" s="33"/>
      <c r="F30" s="9"/>
      <c r="G30" s="10"/>
      <c r="H30" s="29">
        <v>10.0</v>
      </c>
    </row>
    <row r="31" ht="15.75" customHeight="1">
      <c r="B31" s="34" t="s">
        <v>24</v>
      </c>
      <c r="C31" s="35">
        <f>SUM(C27:C30)</f>
        <v>0</v>
      </c>
      <c r="E31" s="36" t="s">
        <v>25</v>
      </c>
      <c r="F31" s="37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38"/>
      <c r="H31" s="39"/>
    </row>
    <row r="32" ht="15.75" customHeight="1">
      <c r="B32" s="2"/>
    </row>
    <row r="33" ht="15.75" customHeight="1">
      <c r="B33" s="5" t="s">
        <v>26</v>
      </c>
    </row>
    <row r="34" ht="15.75" customHeight="1">
      <c r="B34" s="6" t="s">
        <v>27</v>
      </c>
    </row>
    <row r="35" ht="15.75" customHeight="1"/>
    <row r="36" ht="15.75" customHeight="1">
      <c r="B36" s="40" t="s">
        <v>28</v>
      </c>
      <c r="C36" s="23"/>
      <c r="D36" s="23"/>
      <c r="E36" s="23"/>
      <c r="F36" s="23"/>
      <c r="G36" s="24"/>
    </row>
    <row r="37" ht="15.75" customHeight="1">
      <c r="B37" s="41"/>
      <c r="C37" s="9"/>
      <c r="D37" s="9"/>
      <c r="E37" s="9"/>
      <c r="F37" s="9"/>
      <c r="G37" s="10"/>
    </row>
    <row r="38" ht="15.75" customHeight="1">
      <c r="B38" s="42"/>
      <c r="C38" s="43"/>
      <c r="D38" s="43"/>
      <c r="E38" s="43"/>
      <c r="F38" s="43"/>
      <c r="G38" s="44"/>
    </row>
    <row r="39" ht="15.75" customHeight="1"/>
    <row r="40" ht="15.75" customHeight="1">
      <c r="B40" s="40" t="s">
        <v>29</v>
      </c>
      <c r="C40" s="23"/>
      <c r="D40" s="23"/>
      <c r="E40" s="23"/>
      <c r="F40" s="23"/>
      <c r="G40" s="24"/>
    </row>
    <row r="41" ht="15.75" customHeight="1">
      <c r="B41" s="41"/>
      <c r="C41" s="9"/>
      <c r="D41" s="9"/>
      <c r="E41" s="9"/>
      <c r="F41" s="9"/>
      <c r="G41" s="10"/>
    </row>
    <row r="42" ht="15.75" customHeight="1">
      <c r="B42" s="42"/>
      <c r="C42" s="43"/>
      <c r="D42" s="43"/>
      <c r="E42" s="43"/>
      <c r="F42" s="43"/>
      <c r="G42" s="44"/>
    </row>
    <row r="43" ht="15.75" customHeight="1"/>
    <row r="44" ht="15.75" customHeight="1">
      <c r="B44" s="8" t="s">
        <v>30</v>
      </c>
      <c r="C44" s="9"/>
      <c r="D44" s="9"/>
      <c r="E44" s="9"/>
      <c r="F44" s="9"/>
      <c r="G44" s="10"/>
    </row>
    <row r="45" ht="15.75" customHeight="1">
      <c r="B45" s="41"/>
      <c r="C45" s="9"/>
      <c r="D45" s="9"/>
      <c r="E45" s="9"/>
      <c r="F45" s="9"/>
      <c r="G45" s="10"/>
    </row>
    <row r="46" ht="54.75" customHeight="1">
      <c r="B46" s="42"/>
      <c r="C46" s="43"/>
      <c r="D46" s="43"/>
      <c r="E46" s="43"/>
      <c r="F46" s="43"/>
      <c r="G46" s="44"/>
    </row>
    <row r="47" ht="15.75" customHeight="1">
      <c r="B47" s="45" t="str">
        <f>CONCATENATE("El Estudiante ",B49,C49,E49,F49)</f>
        <v>El Estudiante ....</v>
      </c>
      <c r="C47" s="13"/>
      <c r="D47" s="13"/>
      <c r="E47" s="13"/>
      <c r="F47" s="13"/>
      <c r="G47" s="14"/>
    </row>
    <row r="48" ht="15.75" customHeight="1">
      <c r="B48" s="46" t="s">
        <v>31</v>
      </c>
      <c r="C48" s="47" t="s">
        <v>32</v>
      </c>
      <c r="D48" s="14"/>
      <c r="E48" s="48" t="s">
        <v>33</v>
      </c>
      <c r="F48" s="49" t="s">
        <v>34</v>
      </c>
      <c r="G48" s="14"/>
    </row>
    <row r="49" ht="54.75" customHeight="1">
      <c r="A49" s="19"/>
      <c r="B49" s="50" t="s">
        <v>35</v>
      </c>
      <c r="C49" s="51"/>
      <c r="D49" s="14"/>
      <c r="E49" s="52"/>
      <c r="F49" s="53"/>
      <c r="G49" s="14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15.75" customHeight="1">
      <c r="B50" s="54" t="s">
        <v>36</v>
      </c>
    </row>
    <row r="51" ht="15.75" customHeight="1"/>
    <row r="52" ht="15.75" customHeight="1">
      <c r="B52" s="55" t="s">
        <v>37</v>
      </c>
    </row>
    <row r="53" ht="15.75" customHeight="1">
      <c r="B53" s="55" t="s">
        <v>38</v>
      </c>
    </row>
    <row r="54" ht="15.75" customHeight="1">
      <c r="B54" s="55" t="s">
        <v>39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</mergeCells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8.5"/>
    <col customWidth="1" hidden="1" min="3" max="3" width="18.0"/>
    <col customWidth="1" hidden="1" min="4" max="4" width="39.13"/>
    <col customWidth="1" min="5" max="5" width="18.0"/>
    <col customWidth="1" min="6" max="6" width="39.13"/>
  </cols>
  <sheetData>
    <row r="1" ht="15.75" customHeight="1">
      <c r="A1" s="71" t="s">
        <v>58</v>
      </c>
      <c r="B1" s="72" t="s">
        <v>59</v>
      </c>
      <c r="C1" s="71" t="s">
        <v>60</v>
      </c>
      <c r="D1" s="72" t="s">
        <v>61</v>
      </c>
      <c r="E1" s="71" t="s">
        <v>62</v>
      </c>
      <c r="F1" s="72" t="s">
        <v>63</v>
      </c>
    </row>
    <row r="2" ht="15.75" customHeight="1">
      <c r="A2" s="55" t="s">
        <v>64</v>
      </c>
      <c r="B2" s="55" t="s">
        <v>65</v>
      </c>
      <c r="E2" s="55" t="s">
        <v>66</v>
      </c>
      <c r="F2" s="55" t="s">
        <v>67</v>
      </c>
      <c r="H2" s="55" t="s">
        <v>68</v>
      </c>
    </row>
    <row r="3" ht="15.75" customHeight="1">
      <c r="B3" s="55" t="s">
        <v>41</v>
      </c>
      <c r="F3" s="55" t="s">
        <v>69</v>
      </c>
    </row>
    <row r="4" ht="15.75" customHeight="1">
      <c r="B4" s="55" t="s">
        <v>70</v>
      </c>
      <c r="F4" s="55" t="s">
        <v>71</v>
      </c>
    </row>
    <row r="5" ht="15.75" customHeight="1">
      <c r="B5" s="55" t="s">
        <v>72</v>
      </c>
      <c r="F5" s="55" t="s">
        <v>73</v>
      </c>
    </row>
    <row r="6" ht="15.75" customHeight="1">
      <c r="B6" s="55" t="s">
        <v>74</v>
      </c>
      <c r="E6" s="55" t="s">
        <v>75</v>
      </c>
      <c r="F6" s="55" t="s">
        <v>76</v>
      </c>
    </row>
    <row r="7" ht="15.75" customHeight="1">
      <c r="B7" s="55" t="s">
        <v>77</v>
      </c>
      <c r="F7" s="55" t="s">
        <v>78</v>
      </c>
    </row>
    <row r="8" ht="15.75" customHeight="1">
      <c r="A8" s="55" t="s">
        <v>79</v>
      </c>
      <c r="B8" s="55" t="s">
        <v>80</v>
      </c>
      <c r="E8" s="55" t="s">
        <v>81</v>
      </c>
      <c r="F8" s="55" t="s">
        <v>82</v>
      </c>
    </row>
    <row r="9" ht="15.75" customHeight="1">
      <c r="B9" s="55" t="s">
        <v>83</v>
      </c>
      <c r="F9" s="55" t="s">
        <v>84</v>
      </c>
    </row>
    <row r="10" ht="15.75" customHeight="1">
      <c r="B10" s="55" t="s">
        <v>85</v>
      </c>
      <c r="F10" s="55" t="s">
        <v>86</v>
      </c>
    </row>
    <row r="11" ht="15.75" customHeight="1">
      <c r="A11" s="55" t="s">
        <v>87</v>
      </c>
      <c r="B11" s="55" t="s">
        <v>88</v>
      </c>
      <c r="F11" s="55" t="s">
        <v>89</v>
      </c>
    </row>
    <row r="12" ht="15.75" customHeight="1">
      <c r="B12" s="55" t="s">
        <v>90</v>
      </c>
      <c r="F12" s="55" t="s">
        <v>91</v>
      </c>
    </row>
    <row r="13" ht="15.75" customHeight="1">
      <c r="B13" s="55" t="s">
        <v>92</v>
      </c>
      <c r="E13" s="29"/>
      <c r="F13" s="55" t="s">
        <v>93</v>
      </c>
    </row>
    <row r="14" ht="15.75" customHeight="1">
      <c r="A14" s="55" t="s">
        <v>94</v>
      </c>
      <c r="B14" s="55" t="s">
        <v>95</v>
      </c>
      <c r="E14" s="29"/>
      <c r="F14" s="55"/>
    </row>
    <row r="15" ht="15.75" customHeight="1">
      <c r="B15" s="55" t="s">
        <v>96</v>
      </c>
      <c r="E15" s="29"/>
      <c r="F15" s="55"/>
    </row>
    <row r="16" ht="15.75" customHeight="1">
      <c r="B16" s="55" t="s">
        <v>97</v>
      </c>
      <c r="E16" s="29"/>
      <c r="F16" s="55"/>
    </row>
    <row r="17" ht="15.75" customHeight="1">
      <c r="B17" s="55" t="s">
        <v>98</v>
      </c>
      <c r="E17" s="29"/>
      <c r="F17" s="55"/>
    </row>
    <row r="18" ht="15.75" customHeight="1">
      <c r="B18" s="55" t="s">
        <v>99</v>
      </c>
      <c r="E18" s="29"/>
      <c r="F18" s="55"/>
    </row>
    <row r="19" ht="15.75" customHeight="1">
      <c r="A19" s="55"/>
      <c r="B19" s="55" t="s">
        <v>100</v>
      </c>
      <c r="E19" s="29"/>
      <c r="F19" s="55"/>
    </row>
    <row r="20" ht="15.75" customHeight="1">
      <c r="A20" s="55" t="s">
        <v>101</v>
      </c>
      <c r="B20" s="55" t="s">
        <v>102</v>
      </c>
      <c r="E20" s="29"/>
      <c r="F20" s="55"/>
    </row>
    <row r="21" ht="15.75" customHeight="1">
      <c r="B21" s="55" t="s">
        <v>103</v>
      </c>
      <c r="E21" s="29"/>
      <c r="F21" s="55"/>
    </row>
    <row r="22" ht="15.75" customHeight="1">
      <c r="B22" s="55" t="s">
        <v>104</v>
      </c>
      <c r="E22" s="29"/>
      <c r="F22" s="55"/>
    </row>
    <row r="23" ht="15.75" customHeight="1">
      <c r="B23" s="55" t="s">
        <v>105</v>
      </c>
      <c r="E23" s="29"/>
      <c r="F23" s="55"/>
    </row>
    <row r="24" ht="15.75" customHeight="1">
      <c r="B24" s="55" t="s">
        <v>106</v>
      </c>
      <c r="E24" s="29"/>
      <c r="F24" s="55"/>
    </row>
    <row r="25" ht="15.75" customHeight="1">
      <c r="A25" s="55"/>
      <c r="B25" s="55" t="s">
        <v>107</v>
      </c>
      <c r="E25" s="29"/>
      <c r="F25" s="55"/>
    </row>
    <row r="26" ht="15.75" customHeight="1">
      <c r="A26" s="55" t="s">
        <v>108</v>
      </c>
      <c r="B26" s="55" t="s">
        <v>109</v>
      </c>
      <c r="E26" s="29"/>
      <c r="F26" s="55"/>
    </row>
    <row r="27" ht="15.75" customHeight="1">
      <c r="B27" s="55" t="s">
        <v>110</v>
      </c>
      <c r="E27" s="29"/>
      <c r="F27" s="55"/>
    </row>
    <row r="28" ht="15.75" customHeight="1">
      <c r="B28" s="55" t="s">
        <v>111</v>
      </c>
      <c r="E28" s="29"/>
      <c r="F28" s="55"/>
    </row>
    <row r="29" ht="15.75" customHeight="1">
      <c r="B29" s="55" t="s">
        <v>112</v>
      </c>
      <c r="E29" s="29"/>
      <c r="F29" s="55"/>
    </row>
    <row r="30" ht="15.75" customHeight="1">
      <c r="A30" s="55"/>
      <c r="B30" s="55" t="s">
        <v>113</v>
      </c>
      <c r="E30" s="29"/>
      <c r="F30" s="55"/>
    </row>
    <row r="31" ht="15.75" customHeight="1">
      <c r="A31" s="55"/>
      <c r="B31" s="55" t="s">
        <v>114</v>
      </c>
      <c r="E31" s="29"/>
      <c r="F31" s="55"/>
    </row>
    <row r="32" ht="15.75" customHeight="1">
      <c r="A32" s="55"/>
      <c r="B32" s="55" t="s">
        <v>115</v>
      </c>
      <c r="E32" s="29"/>
      <c r="F32" s="55"/>
    </row>
    <row r="33" ht="15.75" customHeight="1">
      <c r="A33" s="55" t="s">
        <v>116</v>
      </c>
      <c r="B33" s="55" t="s">
        <v>117</v>
      </c>
      <c r="E33" s="29"/>
      <c r="F33" s="55"/>
    </row>
    <row r="34" ht="15.75" customHeight="1">
      <c r="B34" s="55" t="s">
        <v>118</v>
      </c>
      <c r="E34" s="29"/>
      <c r="F34" s="55"/>
    </row>
    <row r="35" ht="15.75" customHeight="1">
      <c r="A35" s="55" t="s">
        <v>40</v>
      </c>
      <c r="B35" s="55" t="s">
        <v>119</v>
      </c>
      <c r="E35" s="29"/>
      <c r="F35" s="55"/>
    </row>
    <row r="36" ht="15.75" customHeight="1">
      <c r="B36" s="55" t="s">
        <v>120</v>
      </c>
      <c r="E36" s="29"/>
      <c r="F36" s="55"/>
    </row>
    <row r="37" ht="15.75" customHeight="1">
      <c r="B37" s="55" t="s">
        <v>121</v>
      </c>
      <c r="E37" s="29"/>
      <c r="F37" s="55"/>
    </row>
    <row r="38" ht="15.75" customHeight="1">
      <c r="A38" s="29" t="s">
        <v>11</v>
      </c>
      <c r="B38" s="55" t="s">
        <v>122</v>
      </c>
      <c r="C38" s="29"/>
      <c r="E38" s="29"/>
      <c r="F38" s="55"/>
    </row>
    <row r="39" ht="15.75" customHeight="1">
      <c r="A39" s="29"/>
      <c r="B39" s="55" t="s">
        <v>123</v>
      </c>
      <c r="C39" s="29"/>
      <c r="E39" s="29"/>
      <c r="F39" s="55"/>
    </row>
    <row r="40" ht="15.75" customHeight="1">
      <c r="A40" s="29"/>
      <c r="B40" s="55" t="s">
        <v>124</v>
      </c>
      <c r="C40" s="29"/>
      <c r="E40" s="29"/>
      <c r="F40" s="55"/>
    </row>
    <row r="41" ht="15.75" customHeight="1">
      <c r="A41" s="29"/>
      <c r="B41" s="55" t="s">
        <v>125</v>
      </c>
      <c r="C41" s="29"/>
      <c r="E41" s="29"/>
      <c r="F41" s="55"/>
    </row>
    <row r="42" ht="15.75" customHeight="1">
      <c r="A42" s="55" t="s">
        <v>126</v>
      </c>
      <c r="B42" s="55" t="s">
        <v>127</v>
      </c>
      <c r="C42" s="29"/>
      <c r="E42" s="29"/>
      <c r="F42" s="55"/>
    </row>
    <row r="43" ht="15.75" customHeight="1">
      <c r="A43" s="29"/>
      <c r="B43" s="55" t="s">
        <v>128</v>
      </c>
      <c r="C43" s="29"/>
      <c r="E43" s="29"/>
      <c r="F43" s="55"/>
    </row>
    <row r="44" ht="15.75" customHeight="1">
      <c r="A44" s="29"/>
      <c r="B44" s="55" t="s">
        <v>129</v>
      </c>
      <c r="C44" s="29"/>
      <c r="E44" s="29"/>
      <c r="F44" s="55"/>
    </row>
    <row r="45" ht="15.75" customHeight="1">
      <c r="A45" s="29"/>
      <c r="B45" s="55" t="s">
        <v>130</v>
      </c>
      <c r="C45" s="29"/>
      <c r="E45" s="29"/>
    </row>
    <row r="46" ht="15.75" customHeight="1">
      <c r="A46" s="29"/>
      <c r="B46" s="55" t="s">
        <v>131</v>
      </c>
      <c r="C46" s="29"/>
      <c r="E46" s="29"/>
    </row>
    <row r="47" ht="15.75" customHeight="1">
      <c r="A47" s="29"/>
      <c r="B47" s="55" t="s">
        <v>132</v>
      </c>
      <c r="C47" s="29"/>
      <c r="E47" s="29"/>
    </row>
    <row r="48" ht="15.75" customHeight="1">
      <c r="A48" s="29"/>
      <c r="C48" s="29"/>
      <c r="E48" s="29"/>
    </row>
    <row r="49" ht="15.75" customHeight="1">
      <c r="A49" s="29"/>
      <c r="C49" s="29"/>
      <c r="E49" s="29"/>
    </row>
    <row r="50" ht="15.75" customHeight="1">
      <c r="A50" s="29"/>
      <c r="C50" s="29"/>
      <c r="E50" s="29"/>
    </row>
    <row r="51" ht="15.75" customHeight="1">
      <c r="A51" s="29"/>
      <c r="C51" s="29"/>
      <c r="E51" s="29"/>
    </row>
    <row r="52" ht="15.75" customHeight="1">
      <c r="A52" s="29"/>
      <c r="C52" s="29"/>
      <c r="E52" s="29"/>
    </row>
    <row r="53" ht="15.75" customHeight="1">
      <c r="A53" s="29"/>
      <c r="C53" s="29"/>
      <c r="E53" s="29"/>
    </row>
    <row r="54" ht="15.75" customHeight="1">
      <c r="A54" s="29"/>
      <c r="C54" s="29"/>
      <c r="E54" s="29"/>
    </row>
    <row r="55" ht="15.75" customHeight="1">
      <c r="A55" s="29"/>
      <c r="C55" s="29"/>
      <c r="E55" s="29"/>
    </row>
    <row r="56" ht="15.75" customHeight="1">
      <c r="A56" s="29"/>
      <c r="C56" s="29"/>
      <c r="E56" s="29"/>
    </row>
    <row r="57" ht="15.75" customHeight="1">
      <c r="A57" s="29"/>
      <c r="C57" s="29"/>
      <c r="E57" s="29"/>
    </row>
    <row r="58" ht="15.75" customHeight="1">
      <c r="A58" s="29"/>
      <c r="C58" s="29"/>
      <c r="E58" s="29"/>
    </row>
    <row r="59" ht="15.75" customHeight="1">
      <c r="A59" s="29"/>
      <c r="C59" s="29"/>
      <c r="E59" s="29"/>
    </row>
    <row r="60" ht="15.75" customHeight="1">
      <c r="A60" s="29"/>
      <c r="C60" s="29"/>
      <c r="E60" s="29"/>
    </row>
    <row r="61" ht="15.75" customHeight="1">
      <c r="A61" s="29"/>
      <c r="C61" s="29"/>
      <c r="E61" s="29"/>
    </row>
    <row r="62" ht="15.75" customHeight="1">
      <c r="A62" s="29"/>
      <c r="C62" s="29"/>
      <c r="E62" s="29"/>
    </row>
    <row r="63" ht="15.75" customHeight="1">
      <c r="A63" s="29"/>
      <c r="C63" s="29"/>
      <c r="E63" s="29"/>
    </row>
    <row r="64" ht="15.75" customHeight="1">
      <c r="A64" s="29"/>
      <c r="C64" s="29"/>
      <c r="E64" s="29"/>
    </row>
    <row r="65" ht="15.75" customHeight="1">
      <c r="A65" s="29"/>
      <c r="C65" s="29"/>
      <c r="E65" s="29"/>
    </row>
    <row r="66" ht="15.75" customHeight="1">
      <c r="A66" s="29"/>
      <c r="C66" s="29"/>
      <c r="E66" s="29"/>
    </row>
    <row r="67" ht="15.75" customHeight="1">
      <c r="A67" s="29"/>
      <c r="C67" s="29"/>
      <c r="E67" s="29"/>
    </row>
    <row r="68" ht="15.75" customHeight="1">
      <c r="A68" s="29"/>
      <c r="C68" s="29"/>
      <c r="E68" s="29"/>
    </row>
    <row r="69" ht="15.75" customHeight="1">
      <c r="A69" s="29"/>
      <c r="C69" s="29"/>
      <c r="E69" s="29"/>
    </row>
    <row r="70" ht="15.75" customHeight="1">
      <c r="A70" s="29"/>
      <c r="C70" s="29"/>
      <c r="E70" s="29"/>
    </row>
    <row r="71" ht="15.75" customHeight="1">
      <c r="A71" s="29"/>
      <c r="C71" s="29"/>
      <c r="E71" s="29"/>
    </row>
    <row r="72" ht="15.75" customHeight="1">
      <c r="A72" s="29"/>
      <c r="C72" s="29"/>
      <c r="E72" s="29"/>
    </row>
    <row r="73" ht="15.75" customHeight="1">
      <c r="A73" s="29"/>
      <c r="C73" s="29"/>
      <c r="E73" s="29"/>
    </row>
    <row r="74" ht="15.75" customHeight="1">
      <c r="A74" s="29"/>
      <c r="C74" s="29"/>
      <c r="E74" s="29"/>
    </row>
    <row r="75" ht="15.75" customHeight="1">
      <c r="A75" s="29"/>
      <c r="C75" s="29"/>
      <c r="E75" s="29"/>
    </row>
    <row r="76" ht="15.75" customHeight="1">
      <c r="A76" s="29"/>
      <c r="C76" s="29"/>
      <c r="E76" s="29"/>
    </row>
    <row r="77" ht="15.75" customHeight="1">
      <c r="A77" s="29"/>
      <c r="C77" s="29"/>
      <c r="E77" s="29"/>
    </row>
    <row r="78" ht="15.75" customHeight="1">
      <c r="A78" s="29"/>
      <c r="C78" s="29"/>
      <c r="E78" s="29"/>
    </row>
    <row r="79" ht="15.75" customHeight="1">
      <c r="A79" s="29"/>
      <c r="C79" s="29"/>
      <c r="E79" s="29"/>
    </row>
    <row r="80" ht="15.75" customHeight="1">
      <c r="A80" s="29"/>
      <c r="C80" s="29"/>
      <c r="E80" s="29"/>
    </row>
    <row r="81" ht="15.75" customHeight="1">
      <c r="A81" s="29"/>
      <c r="C81" s="29"/>
      <c r="E81" s="29"/>
    </row>
    <row r="82" ht="15.75" customHeight="1">
      <c r="A82" s="29"/>
      <c r="C82" s="29"/>
      <c r="E82" s="29"/>
    </row>
    <row r="83" ht="15.75" customHeight="1">
      <c r="A83" s="29"/>
      <c r="C83" s="29"/>
      <c r="E83" s="29"/>
    </row>
    <row r="84" ht="15.75" customHeight="1">
      <c r="A84" s="29"/>
      <c r="C84" s="29"/>
      <c r="E84" s="29"/>
    </row>
    <row r="85" ht="15.75" customHeight="1">
      <c r="A85" s="29"/>
      <c r="C85" s="29"/>
      <c r="E85" s="29"/>
    </row>
    <row r="86" ht="15.75" customHeight="1">
      <c r="A86" s="29"/>
      <c r="C86" s="29"/>
      <c r="E86" s="29"/>
    </row>
    <row r="87" ht="15.75" customHeight="1">
      <c r="A87" s="29"/>
      <c r="C87" s="29"/>
      <c r="E87" s="29"/>
    </row>
    <row r="88" ht="15.75" customHeight="1">
      <c r="A88" s="29"/>
      <c r="C88" s="29"/>
      <c r="E88" s="29"/>
    </row>
    <row r="89" ht="15.75" customHeight="1">
      <c r="A89" s="29"/>
      <c r="C89" s="29"/>
      <c r="E89" s="29"/>
    </row>
    <row r="90" ht="15.75" customHeight="1">
      <c r="A90" s="29"/>
      <c r="C90" s="29"/>
      <c r="E90" s="29"/>
    </row>
    <row r="91" ht="15.75" customHeight="1">
      <c r="A91" s="29"/>
      <c r="C91" s="29"/>
      <c r="E91" s="29"/>
    </row>
    <row r="92" ht="15.75" customHeight="1">
      <c r="A92" s="29"/>
      <c r="C92" s="29"/>
      <c r="E92" s="29"/>
    </row>
    <row r="93" ht="15.75" customHeight="1">
      <c r="A93" s="29"/>
      <c r="C93" s="29"/>
      <c r="E93" s="29"/>
    </row>
    <row r="94" ht="15.75" customHeight="1">
      <c r="A94" s="29"/>
      <c r="C94" s="29"/>
      <c r="E94" s="29"/>
    </row>
    <row r="95" ht="15.75" customHeight="1">
      <c r="A95" s="29"/>
      <c r="C95" s="29"/>
      <c r="E95" s="29"/>
    </row>
    <row r="96" ht="15.75" customHeight="1">
      <c r="A96" s="29"/>
      <c r="C96" s="29"/>
      <c r="E96" s="29"/>
    </row>
    <row r="97" ht="15.75" customHeight="1">
      <c r="A97" s="29"/>
      <c r="C97" s="29"/>
      <c r="E97" s="29"/>
    </row>
    <row r="98" ht="15.75" customHeight="1">
      <c r="A98" s="29"/>
      <c r="C98" s="29"/>
      <c r="E98" s="29"/>
    </row>
    <row r="99" ht="15.75" customHeight="1">
      <c r="A99" s="29"/>
      <c r="C99" s="29"/>
      <c r="E99" s="29"/>
    </row>
    <row r="100" ht="15.75" customHeight="1">
      <c r="A100" s="29"/>
      <c r="C100" s="29"/>
      <c r="E100" s="29"/>
    </row>
    <row r="101" ht="15.75" customHeight="1">
      <c r="A101" s="29"/>
      <c r="C101" s="29"/>
      <c r="E101" s="29"/>
    </row>
    <row r="102" ht="15.75" customHeight="1">
      <c r="A102" s="29"/>
      <c r="C102" s="29"/>
      <c r="E102" s="29"/>
    </row>
    <row r="103" ht="15.75" customHeight="1">
      <c r="A103" s="29"/>
      <c r="C103" s="29"/>
      <c r="E103" s="29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